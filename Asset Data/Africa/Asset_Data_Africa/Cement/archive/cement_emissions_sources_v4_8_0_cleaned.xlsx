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ssansheikh/Downloads/"/>
    </mc:Choice>
  </mc:AlternateContent>
  <xr:revisionPtr revIDLastSave="0" documentId="8_{89D08E77-E1DF-B74E-BE8C-621ADD15CBB2}" xr6:coauthVersionLast="47" xr6:coauthVersionMax="47" xr10:uidLastSave="{00000000-0000-0000-0000-000000000000}"/>
  <bookViews>
    <workbookView xWindow="1080" yWindow="1240" windowWidth="27640" windowHeight="16360"/>
  </bookViews>
  <sheets>
    <sheet name="cement_emissions_sources_v4_8_0" sheetId="1" r:id="rId1"/>
    <sheet name="Sheet1" sheetId="2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7" i="1" l="1"/>
  <c r="Q8" i="1"/>
  <c r="Q9" i="1"/>
  <c r="Q10" i="1"/>
  <c r="Q14" i="1"/>
  <c r="Q2" i="1"/>
  <c r="P3" i="1"/>
  <c r="Q3" i="1" s="1"/>
  <c r="P4" i="1"/>
  <c r="Q4" i="1" s="1"/>
  <c r="P5" i="1"/>
  <c r="Q5" i="1" s="1"/>
  <c r="P6" i="1"/>
  <c r="Q6" i="1" s="1"/>
  <c r="P7" i="1"/>
  <c r="P8" i="1"/>
  <c r="P9" i="1"/>
  <c r="P10" i="1"/>
  <c r="P11" i="1"/>
  <c r="Q11" i="1" s="1"/>
  <c r="P12" i="1"/>
  <c r="Q12" i="1" s="1"/>
  <c r="P13" i="1"/>
  <c r="Q13" i="1" s="1"/>
  <c r="P14" i="1"/>
  <c r="P2" i="1"/>
  <c r="O5" i="1"/>
  <c r="O7" i="1"/>
  <c r="O13" i="1"/>
  <c r="O2" i="1"/>
  <c r="M3" i="1"/>
  <c r="M7" i="1"/>
  <c r="M8" i="1"/>
  <c r="M9" i="1"/>
  <c r="M10" i="1"/>
  <c r="M11" i="1"/>
  <c r="M2" i="1"/>
  <c r="L3" i="1"/>
  <c r="L4" i="1"/>
  <c r="M4" i="1" s="1"/>
  <c r="L5" i="1"/>
  <c r="M5" i="1" s="1"/>
  <c r="L6" i="1"/>
  <c r="M6" i="1" s="1"/>
  <c r="L7" i="1"/>
  <c r="L8" i="1"/>
  <c r="L9" i="1"/>
  <c r="L10" i="1"/>
  <c r="L11" i="1"/>
  <c r="L12" i="1"/>
  <c r="M12" i="1" s="1"/>
  <c r="L13" i="1"/>
  <c r="M13" i="1" s="1"/>
  <c r="L14" i="1"/>
  <c r="M14" i="1" s="1"/>
  <c r="L2" i="1"/>
  <c r="K5" i="1"/>
  <c r="K7" i="1"/>
  <c r="K8" i="1"/>
  <c r="K9" i="1"/>
  <c r="K13" i="1"/>
  <c r="J2" i="1"/>
  <c r="K2" i="1" s="1"/>
  <c r="I3" i="1"/>
  <c r="I8" i="1"/>
  <c r="I10" i="1"/>
  <c r="I11" i="1"/>
  <c r="H2" i="1"/>
  <c r="I2" i="1" s="1"/>
  <c r="N14" i="1"/>
  <c r="O14" i="1" s="1"/>
  <c r="J14" i="1"/>
  <c r="K14" i="1" s="1"/>
  <c r="H14" i="1"/>
  <c r="I14" i="1" s="1"/>
  <c r="N13" i="1"/>
  <c r="J13" i="1"/>
  <c r="H13" i="1"/>
  <c r="I13" i="1" s="1"/>
  <c r="N12" i="1"/>
  <c r="O12" i="1" s="1"/>
  <c r="J12" i="1"/>
  <c r="K12" i="1" s="1"/>
  <c r="H12" i="1"/>
  <c r="I12" i="1" s="1"/>
  <c r="N11" i="1"/>
  <c r="O11" i="1" s="1"/>
  <c r="J11" i="1"/>
  <c r="K11" i="1" s="1"/>
  <c r="H11" i="1"/>
  <c r="N10" i="1"/>
  <c r="O10" i="1" s="1"/>
  <c r="J10" i="1"/>
  <c r="K10" i="1" s="1"/>
  <c r="H10" i="1"/>
  <c r="N9" i="1"/>
  <c r="O9" i="1" s="1"/>
  <c r="J9" i="1"/>
  <c r="H9" i="1"/>
  <c r="I9" i="1" s="1"/>
  <c r="N8" i="1"/>
  <c r="O8" i="1" s="1"/>
  <c r="J8" i="1"/>
  <c r="H8" i="1"/>
  <c r="N7" i="1"/>
  <c r="J7" i="1"/>
  <c r="H7" i="1"/>
  <c r="I7" i="1" s="1"/>
  <c r="N6" i="1"/>
  <c r="O6" i="1" s="1"/>
  <c r="J6" i="1"/>
  <c r="K6" i="1" s="1"/>
  <c r="H6" i="1"/>
  <c r="I6" i="1" s="1"/>
  <c r="N5" i="1"/>
  <c r="J5" i="1"/>
  <c r="H5" i="1"/>
  <c r="I5" i="1" s="1"/>
  <c r="N4" i="1"/>
  <c r="O4" i="1" s="1"/>
  <c r="J4" i="1"/>
  <c r="K4" i="1" s="1"/>
  <c r="H4" i="1"/>
  <c r="I4" i="1" s="1"/>
  <c r="N3" i="1"/>
  <c r="O3" i="1" s="1"/>
  <c r="J3" i="1"/>
  <c r="K3" i="1" s="1"/>
  <c r="H3" i="1"/>
  <c r="N2" i="1"/>
  <c r="F7" i="2"/>
  <c r="G7" i="2" s="1"/>
  <c r="F6" i="2"/>
  <c r="G6" i="2" s="1"/>
  <c r="F5" i="2"/>
  <c r="G5" i="2" s="1"/>
  <c r="F4" i="2"/>
  <c r="G4" i="2" s="1"/>
  <c r="F3" i="2"/>
  <c r="G3" i="2" s="1"/>
  <c r="F2" i="2"/>
  <c r="G2" i="2" s="1"/>
</calcChain>
</file>

<file path=xl/sharedStrings.xml><?xml version="1.0" encoding="utf-8"?>
<sst xmlns="http://schemas.openxmlformats.org/spreadsheetml/2006/main" count="88" uniqueCount="56">
  <si>
    <t>source_name</t>
  </si>
  <si>
    <t>iso3_country</t>
  </si>
  <si>
    <t>lat</t>
  </si>
  <si>
    <t>lon</t>
  </si>
  <si>
    <t>capacity</t>
  </si>
  <si>
    <t>capacity_units</t>
  </si>
  <si>
    <t>capacity_factor</t>
  </si>
  <si>
    <t>National Cement Mathatani Cement Plant</t>
  </si>
  <si>
    <t>KEN</t>
  </si>
  <si>
    <t>t of cement</t>
  </si>
  <si>
    <t>Mindouli Cement Plant</t>
  </si>
  <si>
    <t>COG</t>
  </si>
  <si>
    <t>PPC Barnet Kimpese Cement Plant</t>
  </si>
  <si>
    <t>COD</t>
  </si>
  <si>
    <t>SONOCC Madingou Cement Plant</t>
  </si>
  <si>
    <t>Bamburi Mombasa Cement Plant</t>
  </si>
  <si>
    <t>Lukala Cement Plant</t>
  </si>
  <si>
    <t>Louvakou Cement Plant</t>
  </si>
  <si>
    <t>EPAC Athi River Cement Plant</t>
  </si>
  <si>
    <t>Kabimba Cement Plant</t>
  </si>
  <si>
    <t>Mkomani Cement Plant</t>
  </si>
  <si>
    <t>CimenKat Lubudi Cement Plant</t>
  </si>
  <si>
    <t>Nyumba Ya Akiba Cement Plant</t>
  </si>
  <si>
    <t>National Kaloleni Cement Plant</t>
  </si>
  <si>
    <t>emfpm10</t>
  </si>
  <si>
    <t>emfpm25</t>
  </si>
  <si>
    <t>emfso2</t>
  </si>
  <si>
    <t>emfnox</t>
  </si>
  <si>
    <t>Pollutant</t>
  </si>
  <si>
    <t>EF_clinker</t>
  </si>
  <si>
    <t>Unit</t>
  </si>
  <si>
    <t>Type</t>
  </si>
  <si>
    <t>Clinker factor*</t>
  </si>
  <si>
    <t>EF_cement (g/tonnes of cement)</t>
  </si>
  <si>
    <t>EF_cement (tonnes of pollutant/tonnes of cement)</t>
  </si>
  <si>
    <t>Notes</t>
  </si>
  <si>
    <t>PM2.5</t>
  </si>
  <si>
    <t>g/tonnes</t>
  </si>
  <si>
    <t>Grinding</t>
  </si>
  <si>
    <t>SO2**</t>
  </si>
  <si>
    <t>NOx**</t>
  </si>
  <si>
    <t>PM10</t>
  </si>
  <si>
    <t xml:space="preserve">TSP </t>
  </si>
  <si>
    <t>BC</t>
  </si>
  <si>
    <t>*Clinker factor: ratio of clinker mass to cement mass</t>
  </si>
  <si>
    <t>** Median values used from Best available techniques</t>
  </si>
  <si>
    <t>Source: PM2.5, PM10, TSP, BC</t>
  </si>
  <si>
    <t>https://www.eea.europa.eu/en/analysis/publications/emep-eea-guidebook-2023/part-b-sectoral-guidance-chapters/2-industrial-processes-and-product-use/2-a-mineral-products/2-a-1-cement-production-2023/@@download/file</t>
  </si>
  <si>
    <t>Source: Best available techniques for SO2 and NOx</t>
  </si>
  <si>
    <t>https://unece.org/fileadmin/DAM/env/documents/2020/AIR/WGSR/TFTEI_Cement_final_document-december-2020.pdf</t>
  </si>
  <si>
    <t xml:space="preserve"> pm10_t_yr</t>
  </si>
  <si>
    <t> pm25_t_yr</t>
  </si>
  <si>
    <t> so2_t_yr</t>
  </si>
  <si>
    <t> nox_t_yr</t>
  </si>
  <si>
    <t>emfbc</t>
  </si>
  <si>
    <t>bc_t_yr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</si>
</sst>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color theme="1"/>
      <name val="Arial"/>
      <family val="2"/>
    </font>
    <font>
      <u/>
      <sz val="12"/>
      <color theme="1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9">
    <xf numFmtId="0" fontId="0" fillId="0" borderId="0" xfId="0"/>
    <xf numFmtId="0" fontId="18" fillId="0" borderId="0" xfId="0" applyFont="1"/>
    <xf numFmtId="0" fontId="18" fillId="0" borderId="0" xfId="0" applyFont="1" applyAlignment="1">
      <alignment horizontal="center"/>
    </xf>
    <xf numFmtId="0" fontId="18" fillId="33" borderId="0" xfId="0" applyFont="1" applyFill="1" applyAlignment="1">
      <alignment horizontal="center"/>
    </xf>
    <xf numFmtId="0" fontId="18" fillId="33" borderId="0" xfId="0" applyFont="1" applyFill="1"/>
    <xf numFmtId="0" fontId="0" fillId="33" borderId="0" xfId="0" applyFill="1" applyAlignment="1">
      <alignment horizontal="center"/>
    </xf>
    <xf numFmtId="0" fontId="18" fillId="0" borderId="0" xfId="0" applyFont="1" applyAlignment="1">
      <alignment horizontal="center" vertical="center"/>
    </xf>
    <xf numFmtId="0" fontId="19" fillId="0" borderId="0" xfId="42" applyAlignment="1">
      <alignment horizontal="center" vertical="center" wrapText="1"/>
    </xf>
    <xf numFmtId="0" fontId="19" fillId="0" borderId="0" xfId="42" applyAlignment="1">
      <alignment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hassansheikh/Downloads/cement_plants_main.xlsx" TargetMode="External"/><Relationship Id="rId1" Type="http://schemas.openxmlformats.org/officeDocument/2006/relationships/externalLinkPath" Target="cement_plants_mai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ement_plants_main"/>
      <sheetName val="Sheet1"/>
    </sheetNames>
    <sheetDataSet>
      <sheetData sheetId="0"/>
      <sheetData sheetId="1">
        <row r="2">
          <cell r="G2">
            <v>1.2349999999999999E-4</v>
          </cell>
        </row>
        <row r="4">
          <cell r="G4">
            <v>4.9399999999999997E-4</v>
          </cell>
        </row>
        <row r="5">
          <cell r="G5">
            <v>2.2229999999999998E-4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eea.europa.eu/en/analysis/publications/emep-eea-guidebook-2023/part-b-sectoral-guidance-chapters/2-industrial-processes-and-product-use/2-a-mineral-products/2-a-1-cement-production-2023/@@download/file" TargetMode="External"/><Relationship Id="rId1" Type="http://schemas.openxmlformats.org/officeDocument/2006/relationships/hyperlink" Target="https://unece.org/fileadmin/DAM/env/documents/2020/AIR/WGSR/TFTEI_Cement_final_document-december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"/>
  <sheetViews>
    <sheetView tabSelected="1" workbookViewId="0">
      <selection activeCell="F8" sqref="F8"/>
    </sheetView>
  </sheetViews>
  <sheetFormatPr baseColWidth="10" defaultRowHeight="16" x14ac:dyDescent="0.2"/>
  <cols>
    <col min="1" max="1" width="36.1640625" bestFit="1" customWidth="1"/>
    <col min="5" max="5" width="12.1640625" bestFit="1" customWidth="1"/>
    <col min="6" max="6" width="12.83203125" bestFit="1" customWidth="1"/>
    <col min="7" max="7" width="13.6640625" bestFit="1" customWidth="1"/>
    <col min="16" max="16" width="11.1640625" bestFit="1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24</v>
      </c>
      <c r="I1" s="1" t="s">
        <v>50</v>
      </c>
      <c r="J1" s="1" t="s">
        <v>25</v>
      </c>
      <c r="K1" s="1" t="s">
        <v>51</v>
      </c>
      <c r="L1" s="1" t="s">
        <v>26</v>
      </c>
      <c r="M1" s="1" t="s">
        <v>52</v>
      </c>
      <c r="N1" s="1" t="s">
        <v>27</v>
      </c>
      <c r="O1" s="1" t="s">
        <v>53</v>
      </c>
      <c r="P1" s="1" t="s">
        <v>54</v>
      </c>
      <c r="Q1" s="1" t="s">
        <v>55</v>
      </c>
    </row>
    <row r="2" spans="1:17" x14ac:dyDescent="0.2">
      <c r="A2" t="s">
        <v>7</v>
      </c>
      <c r="B2" t="s">
        <v>8</v>
      </c>
      <c r="C2">
        <v>-1.4953049222441499</v>
      </c>
      <c r="D2">
        <v>37.055471071289503</v>
      </c>
      <c r="E2">
        <v>143989.071</v>
      </c>
      <c r="F2" t="s">
        <v>9</v>
      </c>
      <c r="G2">
        <v>0.75691514323333597</v>
      </c>
      <c r="H2">
        <f>Sheet1!$G$5</f>
        <v>2.2229999999999998E-4</v>
      </c>
      <c r="I2">
        <f>G2*H2*E2</f>
        <v>24.227923095089995</v>
      </c>
      <c r="J2">
        <f>Sheet1!$G$2</f>
        <v>1.2349999999999999E-4</v>
      </c>
      <c r="K2">
        <f>G2*J2*E2</f>
        <v>13.459957275049998</v>
      </c>
      <c r="L2">
        <f>Sheet1!$G$3</f>
        <v>7.695E-4</v>
      </c>
      <c r="M2">
        <f>L2*G2*E2</f>
        <v>83.865887636849976</v>
      </c>
      <c r="N2">
        <f>[1]Sheet1!$G$4</f>
        <v>4.9399999999999997E-4</v>
      </c>
      <c r="O2">
        <f>N2*G2*E2</f>
        <v>53.839829100199992</v>
      </c>
      <c r="P2">
        <f>Sheet1!$G$7</f>
        <v>2.8499999999999998E-6</v>
      </c>
      <c r="Q2">
        <f>P2*G2*E2</f>
        <v>0.31061439865499996</v>
      </c>
    </row>
    <row r="3" spans="1:17" x14ac:dyDescent="0.2">
      <c r="A3" t="s">
        <v>10</v>
      </c>
      <c r="B3" t="s">
        <v>11</v>
      </c>
      <c r="C3">
        <v>-4.2423557227032296</v>
      </c>
      <c r="D3">
        <v>14.3628539067077</v>
      </c>
      <c r="E3">
        <v>59289.617489999997</v>
      </c>
      <c r="F3" t="s">
        <v>9</v>
      </c>
      <c r="G3">
        <v>0.51000000000168599</v>
      </c>
      <c r="H3">
        <f>[1]Sheet1!$G$5</f>
        <v>2.2229999999999998E-4</v>
      </c>
      <c r="I3">
        <f t="shared" ref="I3:I14" si="0">G3*H3*E3</f>
        <v>6.7218418037159902</v>
      </c>
      <c r="J3">
        <f>[1]Sheet1!$G$2</f>
        <v>1.2349999999999999E-4</v>
      </c>
      <c r="K3">
        <f t="shared" ref="K3:K14" si="1">G3*J3*E3</f>
        <v>3.7343565576199946</v>
      </c>
      <c r="L3">
        <f>Sheet1!$G$3</f>
        <v>7.695E-4</v>
      </c>
      <c r="M3">
        <f t="shared" ref="M3:M14" si="2">L3*G3*E3</f>
        <v>23.267913935939969</v>
      </c>
      <c r="N3">
        <f>[1]Sheet1!$G$4</f>
        <v>4.9399999999999997E-4</v>
      </c>
      <c r="O3">
        <f t="shared" ref="O3:O14" si="3">N3*G3*E3</f>
        <v>14.937426230479979</v>
      </c>
      <c r="P3">
        <f>Sheet1!$G$7</f>
        <v>2.8499999999999998E-6</v>
      </c>
      <c r="Q3">
        <f t="shared" ref="Q3:Q14" si="4">P3*G3*E3</f>
        <v>8.6177459021999872E-2</v>
      </c>
    </row>
    <row r="4" spans="1:17" x14ac:dyDescent="0.2">
      <c r="A4" t="s">
        <v>12</v>
      </c>
      <c r="B4" t="s">
        <v>13</v>
      </c>
      <c r="C4">
        <v>-5.5391047066757801</v>
      </c>
      <c r="D4">
        <v>14.335949985260401</v>
      </c>
      <c r="E4">
        <v>92322.404370000004</v>
      </c>
      <c r="F4" t="s">
        <v>9</v>
      </c>
      <c r="G4">
        <v>3.4085714290848397E-2</v>
      </c>
      <c r="H4">
        <f>[1]Sheet1!$G$5</f>
        <v>2.2229999999999998E-4</v>
      </c>
      <c r="I4">
        <f t="shared" si="0"/>
        <v>0.69955033428539848</v>
      </c>
      <c r="J4">
        <f>[1]Sheet1!$G$2</f>
        <v>1.2349999999999999E-4</v>
      </c>
      <c r="K4">
        <f t="shared" si="1"/>
        <v>0.38863907460299918</v>
      </c>
      <c r="L4">
        <f>Sheet1!$G$3</f>
        <v>7.695E-4</v>
      </c>
      <c r="M4">
        <f t="shared" si="2"/>
        <v>2.421520387910995</v>
      </c>
      <c r="N4">
        <f>[1]Sheet1!$G$4</f>
        <v>4.9399999999999997E-4</v>
      </c>
      <c r="O4">
        <f t="shared" si="3"/>
        <v>1.5545562984119967</v>
      </c>
      <c r="P4">
        <f>Sheet1!$G$7</f>
        <v>2.8499999999999998E-6</v>
      </c>
      <c r="Q4">
        <f t="shared" si="4"/>
        <v>8.9685940292999807E-3</v>
      </c>
    </row>
    <row r="5" spans="1:17" x14ac:dyDescent="0.2">
      <c r="A5" t="s">
        <v>14</v>
      </c>
      <c r="B5" t="s">
        <v>11</v>
      </c>
      <c r="C5">
        <v>-4.2897660163494997</v>
      </c>
      <c r="D5">
        <v>13.857540042877501</v>
      </c>
      <c r="E5">
        <v>25409.836070000001</v>
      </c>
      <c r="F5" t="s">
        <v>9</v>
      </c>
      <c r="G5">
        <v>0.172057142830673</v>
      </c>
      <c r="H5">
        <f>[1]Sheet1!$G$5</f>
        <v>2.2229999999999998E-4</v>
      </c>
      <c r="I5">
        <f t="shared" si="0"/>
        <v>0.97188310540619471</v>
      </c>
      <c r="J5">
        <f>[1]Sheet1!$G$2</f>
        <v>1.2349999999999999E-4</v>
      </c>
      <c r="K5">
        <f t="shared" si="1"/>
        <v>0.53993505855899715</v>
      </c>
      <c r="L5">
        <f>Sheet1!$G$3</f>
        <v>7.695E-4</v>
      </c>
      <c r="M5">
        <f t="shared" si="2"/>
        <v>3.3642107494829823</v>
      </c>
      <c r="N5">
        <f>[1]Sheet1!$G$4</f>
        <v>4.9399999999999997E-4</v>
      </c>
      <c r="O5">
        <f t="shared" si="3"/>
        <v>2.1597402342359886</v>
      </c>
      <c r="P5">
        <f>Sheet1!$G$7</f>
        <v>2.8499999999999998E-6</v>
      </c>
      <c r="Q5">
        <f t="shared" si="4"/>
        <v>1.2460039812899934E-2</v>
      </c>
    </row>
    <row r="6" spans="1:17" x14ac:dyDescent="0.2">
      <c r="A6" t="s">
        <v>15</v>
      </c>
      <c r="B6" t="s">
        <v>8</v>
      </c>
      <c r="C6">
        <v>-4.0073449357364499</v>
      </c>
      <c r="D6">
        <v>39.7163772708276</v>
      </c>
      <c r="E6">
        <v>67759.562839999999</v>
      </c>
      <c r="F6" t="s">
        <v>9</v>
      </c>
      <c r="G6">
        <v>0.81991500005964302</v>
      </c>
      <c r="H6">
        <f>[1]Sheet1!$G$5</f>
        <v>2.2229999999999998E-4</v>
      </c>
      <c r="I6">
        <f t="shared" si="0"/>
        <v>12.350339321930996</v>
      </c>
      <c r="J6">
        <f>[1]Sheet1!$G$2</f>
        <v>1.2349999999999999E-4</v>
      </c>
      <c r="K6">
        <f t="shared" si="1"/>
        <v>6.8612996232949977</v>
      </c>
      <c r="L6">
        <f>Sheet1!$G$3</f>
        <v>7.695E-4</v>
      </c>
      <c r="M6">
        <f t="shared" si="2"/>
        <v>42.751174575914987</v>
      </c>
      <c r="N6">
        <f>[1]Sheet1!$G$4</f>
        <v>4.9399999999999997E-4</v>
      </c>
      <c r="O6">
        <f t="shared" si="3"/>
        <v>27.445198493179991</v>
      </c>
      <c r="P6">
        <f>Sheet1!$G$7</f>
        <v>2.8499999999999998E-6</v>
      </c>
      <c r="Q6">
        <f t="shared" si="4"/>
        <v>0.15833768361449996</v>
      </c>
    </row>
    <row r="7" spans="1:17" x14ac:dyDescent="0.2">
      <c r="A7" t="s">
        <v>16</v>
      </c>
      <c r="B7" t="s">
        <v>13</v>
      </c>
      <c r="C7">
        <v>-5.5090521857892902</v>
      </c>
      <c r="D7">
        <v>14.525977290600901</v>
      </c>
      <c r="E7">
        <v>30491.80328</v>
      </c>
      <c r="F7" t="s">
        <v>9</v>
      </c>
      <c r="G7">
        <v>0.51387272724133803</v>
      </c>
      <c r="H7">
        <f>[1]Sheet1!$G$5</f>
        <v>2.2229999999999998E-4</v>
      </c>
      <c r="I7">
        <f t="shared" si="0"/>
        <v>3.4831978282529947</v>
      </c>
      <c r="J7">
        <f>[1]Sheet1!$G$2</f>
        <v>1.2349999999999999E-4</v>
      </c>
      <c r="K7">
        <f t="shared" si="1"/>
        <v>1.9351099045849971</v>
      </c>
      <c r="L7">
        <f>Sheet1!$G$3</f>
        <v>7.695E-4</v>
      </c>
      <c r="M7">
        <f t="shared" si="2"/>
        <v>12.057223251644981</v>
      </c>
      <c r="N7">
        <f>[1]Sheet1!$G$4</f>
        <v>4.9399999999999997E-4</v>
      </c>
      <c r="O7">
        <f t="shared" si="3"/>
        <v>7.7404396183399884</v>
      </c>
      <c r="P7">
        <f>Sheet1!$G$7</f>
        <v>2.8499999999999998E-6</v>
      </c>
      <c r="Q7">
        <f t="shared" si="4"/>
        <v>4.465638241349993E-2</v>
      </c>
    </row>
    <row r="8" spans="1:17" x14ac:dyDescent="0.2">
      <c r="A8" t="s">
        <v>17</v>
      </c>
      <c r="B8" t="s">
        <v>11</v>
      </c>
      <c r="C8">
        <v>-4.1650095299981</v>
      </c>
      <c r="D8">
        <v>12.6153475463042</v>
      </c>
      <c r="E8">
        <v>25409.836070000001</v>
      </c>
      <c r="F8" t="s">
        <v>9</v>
      </c>
      <c r="G8">
        <v>0.40861714264495003</v>
      </c>
      <c r="H8">
        <f>[1]Sheet1!$G$5</f>
        <v>2.2229999999999998E-4</v>
      </c>
      <c r="I8">
        <f t="shared" si="0"/>
        <v>2.3081174718029969</v>
      </c>
      <c r="J8">
        <f>[1]Sheet1!$G$2</f>
        <v>1.2349999999999999E-4</v>
      </c>
      <c r="K8">
        <f t="shared" si="1"/>
        <v>1.2822874843349983</v>
      </c>
      <c r="L8">
        <f>Sheet1!$G$3</f>
        <v>7.695E-4</v>
      </c>
      <c r="M8">
        <f t="shared" si="2"/>
        <v>7.9896374023949894</v>
      </c>
      <c r="N8">
        <f>[1]Sheet1!$G$4</f>
        <v>4.9399999999999997E-4</v>
      </c>
      <c r="O8">
        <f t="shared" si="3"/>
        <v>5.1291499373399931</v>
      </c>
      <c r="P8">
        <f>Sheet1!$G$7</f>
        <v>2.8499999999999998E-6</v>
      </c>
      <c r="Q8">
        <f t="shared" si="4"/>
        <v>2.9591249638499958E-2</v>
      </c>
    </row>
    <row r="9" spans="1:17" x14ac:dyDescent="0.2">
      <c r="A9" t="s">
        <v>18</v>
      </c>
      <c r="B9" t="s">
        <v>8</v>
      </c>
      <c r="C9">
        <v>-1.45275180560964</v>
      </c>
      <c r="D9">
        <v>36.963462169984297</v>
      </c>
      <c r="E9">
        <v>84699.453550000006</v>
      </c>
      <c r="F9" t="s">
        <v>9</v>
      </c>
      <c r="G9">
        <v>0.82800600004579294</v>
      </c>
      <c r="H9">
        <f>[1]Sheet1!$G$5</f>
        <v>2.2229999999999998E-4</v>
      </c>
      <c r="I9">
        <f t="shared" si="0"/>
        <v>15.590267071001987</v>
      </c>
      <c r="J9">
        <f>[1]Sheet1!$G$2</f>
        <v>1.2349999999999999E-4</v>
      </c>
      <c r="K9">
        <f t="shared" si="1"/>
        <v>8.6612594838899923</v>
      </c>
      <c r="L9">
        <f>Sheet1!$G$3</f>
        <v>7.695E-4</v>
      </c>
      <c r="M9">
        <f t="shared" si="2"/>
        <v>53.966309091929951</v>
      </c>
      <c r="N9">
        <f>[1]Sheet1!$G$4</f>
        <v>4.9399999999999997E-4</v>
      </c>
      <c r="O9">
        <f t="shared" si="3"/>
        <v>34.645037935559969</v>
      </c>
      <c r="P9">
        <f>Sheet1!$G$7</f>
        <v>2.8499999999999998E-6</v>
      </c>
      <c r="Q9">
        <f t="shared" si="4"/>
        <v>0.19987521885899981</v>
      </c>
    </row>
    <row r="10" spans="1:17" x14ac:dyDescent="0.2">
      <c r="A10" t="s">
        <v>19</v>
      </c>
      <c r="B10" t="s">
        <v>13</v>
      </c>
      <c r="C10">
        <v>-5.55685130553214</v>
      </c>
      <c r="D10">
        <v>29.339067886794201</v>
      </c>
      <c r="E10">
        <v>127049.18030000001</v>
      </c>
      <c r="F10" t="s">
        <v>9</v>
      </c>
      <c r="G10">
        <v>0.17340117793739099</v>
      </c>
      <c r="H10">
        <f>[1]Sheet1!$G$5</f>
        <v>2.2229999999999998E-4</v>
      </c>
      <c r="I10">
        <f t="shared" si="0"/>
        <v>4.8973751526959939</v>
      </c>
      <c r="J10">
        <f>[1]Sheet1!$G$2</f>
        <v>1.2349999999999999E-4</v>
      </c>
      <c r="K10">
        <f t="shared" si="1"/>
        <v>2.720763973719996</v>
      </c>
      <c r="L10">
        <f>Sheet1!$G$3</f>
        <v>7.695E-4</v>
      </c>
      <c r="M10">
        <f t="shared" si="2"/>
        <v>16.952452451639978</v>
      </c>
      <c r="N10">
        <f>[1]Sheet1!$G$4</f>
        <v>4.9399999999999997E-4</v>
      </c>
      <c r="O10">
        <f t="shared" si="3"/>
        <v>10.883055894879984</v>
      </c>
      <c r="P10">
        <f>Sheet1!$G$7</f>
        <v>2.8499999999999998E-6</v>
      </c>
      <c r="Q10">
        <f t="shared" si="4"/>
        <v>6.2786860931999908E-2</v>
      </c>
    </row>
    <row r="11" spans="1:17" x14ac:dyDescent="0.2">
      <c r="A11" t="s">
        <v>20</v>
      </c>
      <c r="B11" t="s">
        <v>8</v>
      </c>
      <c r="C11">
        <v>-3.73656621514951</v>
      </c>
      <c r="D11">
        <v>39.844225426476903</v>
      </c>
      <c r="E11">
        <v>84699.453550000006</v>
      </c>
      <c r="F11" t="s">
        <v>9</v>
      </c>
      <c r="G11">
        <v>0.80658499998079303</v>
      </c>
      <c r="H11">
        <f>[1]Sheet1!$G$5</f>
        <v>2.2229999999999998E-4</v>
      </c>
      <c r="I11">
        <f t="shared" si="0"/>
        <v>15.186937732901985</v>
      </c>
      <c r="J11">
        <f>[1]Sheet1!$G$2</f>
        <v>1.2349999999999999E-4</v>
      </c>
      <c r="K11">
        <f t="shared" si="1"/>
        <v>8.4371876293899923</v>
      </c>
      <c r="L11">
        <f>Sheet1!$G$3</f>
        <v>7.695E-4</v>
      </c>
      <c r="M11">
        <f t="shared" si="2"/>
        <v>52.570169075429952</v>
      </c>
      <c r="N11">
        <f>[1]Sheet1!$G$4</f>
        <v>4.9399999999999997E-4</v>
      </c>
      <c r="O11">
        <f t="shared" si="3"/>
        <v>33.748750517559969</v>
      </c>
      <c r="P11">
        <f>Sheet1!$G$7</f>
        <v>2.8499999999999998E-6</v>
      </c>
      <c r="Q11">
        <f t="shared" si="4"/>
        <v>0.1947043299089998</v>
      </c>
    </row>
    <row r="12" spans="1:17" x14ac:dyDescent="0.2">
      <c r="A12" t="s">
        <v>21</v>
      </c>
      <c r="B12" t="s">
        <v>13</v>
      </c>
      <c r="C12">
        <v>-9.9423155786036705</v>
      </c>
      <c r="D12">
        <v>25.960644395301301</v>
      </c>
      <c r="E12">
        <v>7368.8524589999997</v>
      </c>
      <c r="F12" t="s">
        <v>9</v>
      </c>
      <c r="G12">
        <v>0.509999999987786</v>
      </c>
      <c r="H12">
        <f>[1]Sheet1!$G$5</f>
        <v>2.2229999999999998E-4</v>
      </c>
      <c r="I12">
        <f t="shared" si="0"/>
        <v>0.83542890981419915</v>
      </c>
      <c r="J12">
        <f>[1]Sheet1!$G$2</f>
        <v>1.2349999999999999E-4</v>
      </c>
      <c r="K12">
        <f t="shared" si="1"/>
        <v>0.46412717211899956</v>
      </c>
      <c r="L12">
        <f>Sheet1!$G$3</f>
        <v>7.695E-4</v>
      </c>
      <c r="M12">
        <f t="shared" si="2"/>
        <v>2.8918693032029976</v>
      </c>
      <c r="N12">
        <f>[1]Sheet1!$G$4</f>
        <v>4.9399999999999997E-4</v>
      </c>
      <c r="O12">
        <f t="shared" si="3"/>
        <v>1.8565086884759983</v>
      </c>
      <c r="P12">
        <f>Sheet1!$G$7</f>
        <v>2.8499999999999998E-6</v>
      </c>
      <c r="Q12">
        <f t="shared" si="4"/>
        <v>1.071062704889999E-2</v>
      </c>
    </row>
    <row r="13" spans="1:17" x14ac:dyDescent="0.2">
      <c r="A13" t="s">
        <v>22</v>
      </c>
      <c r="B13" t="s">
        <v>13</v>
      </c>
      <c r="C13">
        <v>-5.6312085004966796</v>
      </c>
      <c r="D13">
        <v>14.2049709489753</v>
      </c>
      <c r="E13">
        <v>110109.2896</v>
      </c>
      <c r="F13" t="s">
        <v>9</v>
      </c>
      <c r="G13">
        <v>0.17340117786029199</v>
      </c>
      <c r="H13">
        <f>[1]Sheet1!$G$5</f>
        <v>2.2229999999999998E-4</v>
      </c>
      <c r="I13">
        <f t="shared" si="0"/>
        <v>4.2443917973729999</v>
      </c>
      <c r="J13">
        <f>[1]Sheet1!$G$2</f>
        <v>1.2349999999999999E-4</v>
      </c>
      <c r="K13">
        <f t="shared" si="1"/>
        <v>2.3579954429850001</v>
      </c>
      <c r="L13">
        <f>Sheet1!$G$3</f>
        <v>7.695E-4</v>
      </c>
      <c r="M13">
        <f t="shared" si="2"/>
        <v>14.692125452445</v>
      </c>
      <c r="N13">
        <f>[1]Sheet1!$G$4</f>
        <v>4.9399999999999997E-4</v>
      </c>
      <c r="O13">
        <f t="shared" si="3"/>
        <v>9.4319817719400003</v>
      </c>
      <c r="P13">
        <f>Sheet1!$G$7</f>
        <v>2.8499999999999998E-6</v>
      </c>
      <c r="Q13">
        <f t="shared" si="4"/>
        <v>5.4415279453499998E-2</v>
      </c>
    </row>
    <row r="14" spans="1:17" x14ac:dyDescent="0.2">
      <c r="A14" t="s">
        <v>23</v>
      </c>
      <c r="B14" t="s">
        <v>8</v>
      </c>
      <c r="C14">
        <v>-3.8455405012117398</v>
      </c>
      <c r="D14">
        <v>39.6339946362814</v>
      </c>
      <c r="E14">
        <v>59289.617489999997</v>
      </c>
      <c r="F14" t="s">
        <v>9</v>
      </c>
      <c r="G14">
        <v>0.51239999996835806</v>
      </c>
      <c r="H14">
        <f>[1]Sheet1!$G$5</f>
        <v>2.2229999999999998E-4</v>
      </c>
      <c r="I14">
        <f t="shared" si="0"/>
        <v>6.75347399999999</v>
      </c>
      <c r="J14">
        <f>[1]Sheet1!$G$2</f>
        <v>1.2349999999999999E-4</v>
      </c>
      <c r="K14">
        <f t="shared" si="1"/>
        <v>3.7519299999999949</v>
      </c>
      <c r="L14">
        <f>Sheet1!$G$3</f>
        <v>7.695E-4</v>
      </c>
      <c r="M14">
        <f t="shared" si="2"/>
        <v>23.377409999999969</v>
      </c>
      <c r="N14">
        <f>[1]Sheet1!$G$4</f>
        <v>4.9399999999999997E-4</v>
      </c>
      <c r="O14">
        <f t="shared" si="3"/>
        <v>15.00771999999998</v>
      </c>
      <c r="P14">
        <f>Sheet1!$G$7</f>
        <v>2.8499999999999998E-6</v>
      </c>
      <c r="Q14">
        <f t="shared" si="4"/>
        <v>8.6582999999999868E-2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>
      <selection activeCell="G7" sqref="G7"/>
    </sheetView>
  </sheetViews>
  <sheetFormatPr baseColWidth="10" defaultRowHeight="16" x14ac:dyDescent="0.2"/>
  <cols>
    <col min="7" max="7" width="40.83203125" bestFit="1" customWidth="1"/>
  </cols>
  <sheetData>
    <row r="1" spans="1:10" x14ac:dyDescent="0.2">
      <c r="A1" s="2" t="s">
        <v>28</v>
      </c>
      <c r="B1" s="2" t="s">
        <v>29</v>
      </c>
      <c r="C1" s="2" t="s">
        <v>30</v>
      </c>
      <c r="D1" s="2" t="s">
        <v>31</v>
      </c>
      <c r="E1" s="2" t="s">
        <v>32</v>
      </c>
      <c r="F1" s="2" t="s">
        <v>33</v>
      </c>
      <c r="G1" s="2" t="s">
        <v>34</v>
      </c>
      <c r="H1" s="1" t="s">
        <v>35</v>
      </c>
    </row>
    <row r="2" spans="1:10" x14ac:dyDescent="0.2">
      <c r="A2" s="2" t="s">
        <v>36</v>
      </c>
      <c r="B2" s="3">
        <v>130</v>
      </c>
      <c r="C2" s="2" t="s">
        <v>37</v>
      </c>
      <c r="D2" s="2" t="s">
        <v>38</v>
      </c>
      <c r="E2" s="2">
        <v>0.95</v>
      </c>
      <c r="F2" s="2">
        <f>E2*B2</f>
        <v>123.5</v>
      </c>
      <c r="G2" s="2">
        <f>F2/1000000</f>
        <v>1.2349999999999999E-4</v>
      </c>
      <c r="H2" s="4"/>
    </row>
    <row r="3" spans="1:10" x14ac:dyDescent="0.2">
      <c r="A3" s="2" t="s">
        <v>39</v>
      </c>
      <c r="B3" s="3">
        <v>810</v>
      </c>
      <c r="C3" s="2" t="s">
        <v>37</v>
      </c>
      <c r="D3" s="2" t="s">
        <v>38</v>
      </c>
      <c r="E3" s="2">
        <v>0.95</v>
      </c>
      <c r="F3" s="2">
        <f t="shared" ref="F3:F7" si="0">E3*B3</f>
        <v>769.5</v>
      </c>
      <c r="G3" s="2">
        <f t="shared" ref="G3:G7" si="1">F3/1000000</f>
        <v>7.695E-4</v>
      </c>
      <c r="H3" s="1"/>
    </row>
    <row r="4" spans="1:10" x14ac:dyDescent="0.2">
      <c r="A4" s="2" t="s">
        <v>40</v>
      </c>
      <c r="B4" s="3">
        <v>520</v>
      </c>
      <c r="C4" s="2" t="s">
        <v>37</v>
      </c>
      <c r="D4" s="2" t="s">
        <v>38</v>
      </c>
      <c r="E4" s="2">
        <v>0.95</v>
      </c>
      <c r="F4" s="2">
        <f t="shared" si="0"/>
        <v>494</v>
      </c>
      <c r="G4" s="2">
        <f t="shared" si="1"/>
        <v>4.9399999999999997E-4</v>
      </c>
      <c r="H4" s="1"/>
    </row>
    <row r="5" spans="1:10" x14ac:dyDescent="0.2">
      <c r="A5" s="2" t="s">
        <v>41</v>
      </c>
      <c r="B5" s="3">
        <v>234</v>
      </c>
      <c r="C5" s="2" t="s">
        <v>37</v>
      </c>
      <c r="D5" s="2" t="s">
        <v>38</v>
      </c>
      <c r="E5" s="2">
        <v>0.95</v>
      </c>
      <c r="F5" s="2">
        <f t="shared" si="0"/>
        <v>222.29999999999998</v>
      </c>
      <c r="G5" s="2">
        <f t="shared" si="1"/>
        <v>2.2229999999999998E-4</v>
      </c>
      <c r="H5" s="4"/>
    </row>
    <row r="6" spans="1:10" x14ac:dyDescent="0.2">
      <c r="A6" s="2" t="s">
        <v>42</v>
      </c>
      <c r="B6" s="5">
        <v>260</v>
      </c>
      <c r="C6" s="2" t="s">
        <v>37</v>
      </c>
      <c r="D6" s="2" t="s">
        <v>38</v>
      </c>
      <c r="E6" s="2">
        <v>0.95</v>
      </c>
      <c r="F6" s="2">
        <f t="shared" si="0"/>
        <v>247</v>
      </c>
      <c r="G6" s="2">
        <f t="shared" si="1"/>
        <v>2.4699999999999999E-4</v>
      </c>
    </row>
    <row r="7" spans="1:10" x14ac:dyDescent="0.2">
      <c r="A7" s="2" t="s">
        <v>43</v>
      </c>
      <c r="B7" s="3">
        <v>3</v>
      </c>
      <c r="C7" s="2" t="s">
        <v>37</v>
      </c>
      <c r="D7" s="2" t="s">
        <v>38</v>
      </c>
      <c r="E7" s="2">
        <v>0.95</v>
      </c>
      <c r="F7" s="2">
        <f t="shared" si="0"/>
        <v>2.8499999999999996</v>
      </c>
      <c r="G7" s="2">
        <f t="shared" si="1"/>
        <v>2.8499999999999998E-6</v>
      </c>
    </row>
    <row r="8" spans="1:10" x14ac:dyDescent="0.2">
      <c r="A8" s="2" t="s">
        <v>44</v>
      </c>
    </row>
    <row r="9" spans="1:10" x14ac:dyDescent="0.2">
      <c r="A9" s="2" t="s">
        <v>45</v>
      </c>
    </row>
    <row r="10" spans="1:10" ht="388" x14ac:dyDescent="0.2">
      <c r="A10" s="6" t="s">
        <v>46</v>
      </c>
      <c r="B10" s="7" t="s">
        <v>47</v>
      </c>
      <c r="J10">
        <v>1000000</v>
      </c>
    </row>
    <row r="11" spans="1:10" ht="187" x14ac:dyDescent="0.2">
      <c r="A11" s="2" t="s">
        <v>48</v>
      </c>
      <c r="B11" s="8" t="s">
        <v>49</v>
      </c>
    </row>
  </sheetData>
  <hyperlinks>
    <hyperlink ref="B11" r:id="rId1"/>
    <hyperlink ref="B10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cement_emissions_sources_v4_8_0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2025-11-25T20:42:07Z</dcterms:created>
  <dcterms:modified xsi:type="dcterms:W3CDTF">2025-11-25T20:42:07Z</dcterms:modified>
</cp:coreProperties>
</file>