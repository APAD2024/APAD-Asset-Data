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Africa\Asset_Data_Africa\Coal Plants\"/>
    </mc:Choice>
  </mc:AlternateContent>
  <xr:revisionPtr revIDLastSave="0" documentId="13_ncr:9_{185DA7D8-1905-4A40-928B-0CBF783FBD1D}" xr6:coauthVersionLast="47" xr6:coauthVersionMax="47" xr10:uidLastSave="{00000000-0000-0000-0000-000000000000}"/>
  <bookViews>
    <workbookView xWindow="11424" yWindow="0" windowWidth="11712" windowHeight="12336" xr2:uid="{BD77A84E-9835-4E0A-8AB6-9773CE508B26}"/>
  </bookViews>
  <sheets>
    <sheet name="africa_coal_plants_main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2" i="1"/>
  <c r="B5" i="2"/>
  <c r="D5" i="2" s="1"/>
  <c r="D4" i="2"/>
  <c r="D3" i="2"/>
  <c r="D2" i="2"/>
</calcChain>
</file>

<file path=xl/sharedStrings.xml><?xml version="1.0" encoding="utf-8"?>
<sst xmlns="http://schemas.openxmlformats.org/spreadsheetml/2006/main" count="246" uniqueCount="172">
  <si>
    <t>id</t>
  </si>
  <si>
    <t>name</t>
  </si>
  <si>
    <t>lat</t>
  </si>
  <si>
    <t>lon</t>
  </si>
  <si>
    <t>type</t>
  </si>
  <si>
    <t xml:space="preserve"> fuel</t>
  </si>
  <si>
    <t>region</t>
  </si>
  <si>
    <t>country</t>
  </si>
  <si>
    <t>status</t>
  </si>
  <si>
    <t>capacities</t>
  </si>
  <si>
    <t>capacity_power</t>
  </si>
  <si>
    <t>prod_kw</t>
  </si>
  <si>
    <t>emfpm10</t>
  </si>
  <si>
    <t xml:space="preserve"> pm10_t_yr</t>
  </si>
  <si>
    <t>emfpm25</t>
  </si>
  <si>
    <t>pm25_t_yr</t>
  </si>
  <si>
    <t>emfso2</t>
  </si>
  <si>
    <t>so2_t_yr</t>
  </si>
  <si>
    <t>emfnox</t>
  </si>
  <si>
    <t>nox_t_yr</t>
  </si>
  <si>
    <t>source</t>
  </si>
  <si>
    <t>CN-1</t>
  </si>
  <si>
    <t>Gboko Cement power station</t>
  </si>
  <si>
    <t>coal</t>
  </si>
  <si>
    <t>Benue</t>
  </si>
  <si>
    <t>Nigeria</t>
  </si>
  <si>
    <t>operating</t>
  </si>
  <si>
    <t>GEM</t>
  </si>
  <si>
    <t>CN-2</t>
  </si>
  <si>
    <t>Ibese Cement power station</t>
  </si>
  <si>
    <t>Ogun</t>
  </si>
  <si>
    <t>37,37,37</t>
  </si>
  <si>
    <t>CN-3</t>
  </si>
  <si>
    <t>Okpella Cement power station</t>
  </si>
  <si>
    <t>Edo</t>
  </si>
  <si>
    <t>30,30</t>
  </si>
  <si>
    <t>CN-4</t>
  </si>
  <si>
    <t>Obajana Cement power station</t>
  </si>
  <si>
    <t>Kogi</t>
  </si>
  <si>
    <t>45,45,45</t>
  </si>
  <si>
    <t>CN-5</t>
  </si>
  <si>
    <t>Ugboba power station</t>
  </si>
  <si>
    <t>lignite</t>
  </si>
  <si>
    <t>Delta</t>
  </si>
  <si>
    <t>permitted</t>
  </si>
  <si>
    <t>CN-6</t>
  </si>
  <si>
    <t>Egbin Thermal Power Station</t>
  </si>
  <si>
    <t>CN-7</t>
  </si>
  <si>
    <t>NIPP Gbarain-Ubie Power Station</t>
  </si>
  <si>
    <t>CN-8</t>
  </si>
  <si>
    <t>Azura Edo IPP</t>
  </si>
  <si>
    <t>CN-9</t>
  </si>
  <si>
    <t>Egbema Power Plant Umuezi Mmahu</t>
  </si>
  <si>
    <t>CN-10</t>
  </si>
  <si>
    <t>Oji Termal Station</t>
  </si>
  <si>
    <t>CN-11</t>
  </si>
  <si>
    <t>MOSRA ENERGY LTD</t>
  </si>
  <si>
    <t>CN-12</t>
  </si>
  <si>
    <t>Okoloma Gas Plant</t>
  </si>
  <si>
    <t>CN-13</t>
  </si>
  <si>
    <t>National Integrated Power Project</t>
  </si>
  <si>
    <t>CN-14</t>
  </si>
  <si>
    <t>Shiroro Power Station</t>
  </si>
  <si>
    <t>CN-15</t>
  </si>
  <si>
    <t>African Natural Resources &amp; Mines Limited</t>
  </si>
  <si>
    <t>CN-16</t>
  </si>
  <si>
    <t>Ethiope Energy Ltd</t>
  </si>
  <si>
    <t>CN-17</t>
  </si>
  <si>
    <t>Resident Cement Gwana power station</t>
  </si>
  <si>
    <t>unknown</t>
  </si>
  <si>
    <t>Bauchi</t>
  </si>
  <si>
    <t>announced</t>
  </si>
  <si>
    <t>CN-18</t>
  </si>
  <si>
    <t>DANGOTE BENUE CEMENT</t>
  </si>
  <si>
    <t>Climate Trace</t>
  </si>
  <si>
    <t>CU-1</t>
  </si>
  <si>
    <t>Mubuku I Hydroelectric Power Station</t>
  </si>
  <si>
    <t>Uganda</t>
  </si>
  <si>
    <t>CU-2</t>
  </si>
  <si>
    <t>Mpanga Power Station</t>
  </si>
  <si>
    <t>CU-3</t>
  </si>
  <si>
    <t>Bugoye Hydroelectric Power Station</t>
  </si>
  <si>
    <t>CU-4</t>
  </si>
  <si>
    <t>Nkusi Hydroelectric Power Station</t>
  </si>
  <si>
    <t>CU-5</t>
  </si>
  <si>
    <t>Mubuku III Hydroelectric Power Station</t>
  </si>
  <si>
    <t>CU-6</t>
  </si>
  <si>
    <t>Nyagak Hydro Power Station</t>
  </si>
  <si>
    <t>CU-7</t>
  </si>
  <si>
    <t>Mahoma Hydroelectric Power Station</t>
  </si>
  <si>
    <t>CU-8</t>
  </si>
  <si>
    <t>Nkonge Solar Power Station</t>
  </si>
  <si>
    <t>CU-9</t>
  </si>
  <si>
    <t>Uganda Electricity Generation Company Limited</t>
  </si>
  <si>
    <t>CU-10</t>
  </si>
  <si>
    <t>Kabulasoke Solar Power Station</t>
  </si>
  <si>
    <t>CU-11</t>
  </si>
  <si>
    <t>Kisiizi Hydroelectric Power Station</t>
  </si>
  <si>
    <t>CU-12</t>
  </si>
  <si>
    <t>Namugoga Solar Power Station</t>
  </si>
  <si>
    <t>CU-13</t>
  </si>
  <si>
    <t>Osukuru Thermal Power Station</t>
  </si>
  <si>
    <t>CU-14</t>
  </si>
  <si>
    <t>Tororo Thermal Power Station</t>
  </si>
  <si>
    <t>CU-15</t>
  </si>
  <si>
    <t>Kiira Power Station</t>
  </si>
  <si>
    <t>CU-16</t>
  </si>
  <si>
    <t>Lugazi Thermal Power Station</t>
  </si>
  <si>
    <t>CU-17</t>
  </si>
  <si>
    <t>Nyamagasani I Hydroelectric Power Station</t>
  </si>
  <si>
    <t>CU-18</t>
  </si>
  <si>
    <t>Sindila Hydroelectric Power Station</t>
  </si>
  <si>
    <t>CU-19</t>
  </si>
  <si>
    <t>Kakira Thermal Power Station</t>
  </si>
  <si>
    <t>CU-20</t>
  </si>
  <si>
    <t>Ndugutu Hydroelectric Plant</t>
  </si>
  <si>
    <t>CG-1</t>
  </si>
  <si>
    <t>Sunon-Asogli Power Limited</t>
  </si>
  <si>
    <t>Ghana</t>
  </si>
  <si>
    <t>CG-2</t>
  </si>
  <si>
    <t>Kpone Thermal Power Station</t>
  </si>
  <si>
    <t>CG-3</t>
  </si>
  <si>
    <t>Tema Thermal 1 Power Plant (TT1PP)</t>
  </si>
  <si>
    <t>CG-4</t>
  </si>
  <si>
    <t>Amandi Energy power plant</t>
  </si>
  <si>
    <t>CG-5</t>
  </si>
  <si>
    <t>Cenpower Generation Company Limited</t>
  </si>
  <si>
    <t>CG-6</t>
  </si>
  <si>
    <t>Kaleo Solar Power Plant</t>
  </si>
  <si>
    <t>CG-7</t>
  </si>
  <si>
    <t>Kpone Independent Power Plant</t>
  </si>
  <si>
    <t>CG-8</t>
  </si>
  <si>
    <t>Ameri Power Plant</t>
  </si>
  <si>
    <t>CG-9</t>
  </si>
  <si>
    <t>Navrongo Solar Power Station</t>
  </si>
  <si>
    <t>CG-10</t>
  </si>
  <si>
    <t>GPGC Power Plant</t>
  </si>
  <si>
    <t>CG-11</t>
  </si>
  <si>
    <t>AKSA ENERGY GHANA</t>
  </si>
  <si>
    <t>CG-12</t>
  </si>
  <si>
    <t>Epl Bridge power plant</t>
  </si>
  <si>
    <t>CG-13</t>
  </si>
  <si>
    <t>Nuclear Power Ghana</t>
  </si>
  <si>
    <t>CG-14</t>
  </si>
  <si>
    <t>Bridge Power Project</t>
  </si>
  <si>
    <t>CG-15</t>
  </si>
  <si>
    <t>Gomoa Onyaadze Solar Power Station</t>
  </si>
  <si>
    <t>CG-16</t>
  </si>
  <si>
    <t>Nzema Solar Power Station</t>
  </si>
  <si>
    <t>CS-1</t>
  </si>
  <si>
    <t>Gallen Cement power station</t>
  </si>
  <si>
    <t>Dakar</t>
  </si>
  <si>
    <t>Senegal</t>
  </si>
  <si>
    <t>CS-2</t>
  </si>
  <si>
    <t>Sendou power station</t>
  </si>
  <si>
    <t>Pollutant</t>
  </si>
  <si>
    <t>EF</t>
  </si>
  <si>
    <t>Unit</t>
  </si>
  <si>
    <t>EF normalised (tonnes of pollutant/tonnes of production)</t>
  </si>
  <si>
    <t>Notes</t>
  </si>
  <si>
    <t>PM2.5</t>
  </si>
  <si>
    <t xml:space="preserve"> tonne/000 tonnes</t>
  </si>
  <si>
    <t>Averaged from a range =  0.16-0.22</t>
  </si>
  <si>
    <t>SO2</t>
  </si>
  <si>
    <t>NOx</t>
  </si>
  <si>
    <t>Averaged from a range =  4.22 - 4.38</t>
  </si>
  <si>
    <t>PM10</t>
  </si>
  <si>
    <t>Averaged from a range =  0.29-0.45</t>
  </si>
  <si>
    <t>Source</t>
  </si>
  <si>
    <t>India Air Quality - Coal Power Plants Emissions - reference for PM2.5 and PM10</t>
  </si>
  <si>
    <t xml:space="preserve">https://www.indiaairquality.info/wp-content/uploads/docs/2014-08-AE-Emissions-Health-Coal-PPs-India.pdf </t>
  </si>
  <si>
    <t>US EPA - Emissions Inventory Conference - Reference for So2 and 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</si>
</sst>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airquality.info/wp-content/uploads/docs/2014-08-AE-Emissions-Health-Coal-PPs-Indi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D530-2543-4A55-B9B2-B90C85DBA42D}">
  <dimension ref="A1:U57"/>
  <sheetViews>
    <sheetView tabSelected="1" workbookViewId="0">
      <selection activeCell="T2" sqref="T2:T57"/>
    </sheetView>
  </sheetViews>
  <sheetFormatPr defaultRowHeight="14.4" x14ac:dyDescent="0.3"/>
  <cols>
    <col min="12" max="12" width="10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7.4109999999999996</v>
      </c>
      <c r="D2">
        <v>8.9740000000000002</v>
      </c>
      <c r="F2" t="s">
        <v>23</v>
      </c>
      <c r="G2" t="s">
        <v>24</v>
      </c>
      <c r="H2" t="s">
        <v>25</v>
      </c>
      <c r="I2" t="s">
        <v>26</v>
      </c>
      <c r="J2">
        <v>38.5</v>
      </c>
      <c r="K2">
        <v>38</v>
      </c>
      <c r="L2">
        <f>(K2*1000*24*365)</f>
        <v>332880000</v>
      </c>
      <c r="M2">
        <f>Sheet1!$D$5</f>
        <v>3.6999999999999999E-4</v>
      </c>
      <c r="N2">
        <f>((L2*M2)/1000)*0.05</f>
        <v>6.1582800000000004</v>
      </c>
      <c r="O2">
        <f>Sheet1!$D$2</f>
        <v>1.9000000000000001E-4</v>
      </c>
      <c r="P2">
        <f>((L2*O2)/1000)*0.05</f>
        <v>3.1623600000000005</v>
      </c>
      <c r="Q2">
        <f>Sheet1!$D$3</f>
        <v>7.1999999999999998E-3</v>
      </c>
      <c r="R2">
        <f>((L2*Q2)/1000)*0.05</f>
        <v>119.8368</v>
      </c>
      <c r="S2">
        <f>Sheet1!$D$4</f>
        <v>4.3E-3</v>
      </c>
      <c r="T2">
        <f>((L2*S2)/1000)*0.05</f>
        <v>71.569200000000009</v>
      </c>
      <c r="U2" t="s">
        <v>27</v>
      </c>
    </row>
    <row r="3" spans="1:21" x14ac:dyDescent="0.3">
      <c r="A3" t="s">
        <v>28</v>
      </c>
      <c r="B3" t="s">
        <v>29</v>
      </c>
      <c r="C3">
        <v>7.0039999999999996</v>
      </c>
      <c r="D3">
        <v>3.048</v>
      </c>
      <c r="F3" t="s">
        <v>23</v>
      </c>
      <c r="G3" t="s">
        <v>30</v>
      </c>
      <c r="H3" t="s">
        <v>25</v>
      </c>
      <c r="I3" t="s">
        <v>26</v>
      </c>
      <c r="J3" t="s">
        <v>31</v>
      </c>
      <c r="K3">
        <v>111</v>
      </c>
      <c r="L3">
        <f t="shared" ref="L3:L57" si="0">(K3*1000*24*365)</f>
        <v>972360000</v>
      </c>
      <c r="M3">
        <f>Sheet1!$D$5</f>
        <v>3.6999999999999999E-4</v>
      </c>
      <c r="N3">
        <f t="shared" ref="N3:N57" si="1">((L3*M3)/1000)*0.05</f>
        <v>17.988660000000003</v>
      </c>
      <c r="O3">
        <f>Sheet1!$D$2</f>
        <v>1.9000000000000001E-4</v>
      </c>
      <c r="P3">
        <f t="shared" ref="P3:P57" si="2">((L3*O3)/1000)*0.05</f>
        <v>9.237420000000002</v>
      </c>
      <c r="Q3">
        <f>Sheet1!$D$3</f>
        <v>7.1999999999999998E-3</v>
      </c>
      <c r="R3">
        <f t="shared" ref="R3:R57" si="3">((L3*Q3)/1000)*0.05</f>
        <v>350.04960000000005</v>
      </c>
      <c r="S3">
        <f>Sheet1!$D$4</f>
        <v>4.3E-3</v>
      </c>
      <c r="T3">
        <f t="shared" ref="T3:T57" si="4">((L3*S3)/1000)*0.05</f>
        <v>209.05740000000003</v>
      </c>
      <c r="U3" t="s">
        <v>27</v>
      </c>
    </row>
    <row r="4" spans="1:21" x14ac:dyDescent="0.3">
      <c r="A4" t="s">
        <v>32</v>
      </c>
      <c r="B4" t="s">
        <v>33</v>
      </c>
      <c r="C4">
        <v>7.3442170000000004</v>
      </c>
      <c r="D4">
        <v>6.4623879999999998</v>
      </c>
      <c r="F4" t="s">
        <v>23</v>
      </c>
      <c r="G4" t="s">
        <v>34</v>
      </c>
      <c r="H4" t="s">
        <v>25</v>
      </c>
      <c r="I4" t="s">
        <v>26</v>
      </c>
      <c r="J4" t="s">
        <v>35</v>
      </c>
      <c r="K4">
        <v>60</v>
      </c>
      <c r="L4">
        <f t="shared" si="0"/>
        <v>525600000</v>
      </c>
      <c r="M4">
        <f>Sheet1!$D$5</f>
        <v>3.6999999999999999E-4</v>
      </c>
      <c r="N4">
        <f t="shared" si="1"/>
        <v>9.7236000000000011</v>
      </c>
      <c r="O4">
        <f>Sheet1!$D$2</f>
        <v>1.9000000000000001E-4</v>
      </c>
      <c r="P4">
        <f t="shared" si="2"/>
        <v>4.9932000000000007</v>
      </c>
      <c r="Q4">
        <f>Sheet1!$D$3</f>
        <v>7.1999999999999998E-3</v>
      </c>
      <c r="R4">
        <f t="shared" si="3"/>
        <v>189.21600000000001</v>
      </c>
      <c r="S4">
        <f>Sheet1!$D$4</f>
        <v>4.3E-3</v>
      </c>
      <c r="T4">
        <f t="shared" si="4"/>
        <v>113.004</v>
      </c>
      <c r="U4" t="s">
        <v>27</v>
      </c>
    </row>
    <row r="5" spans="1:21" x14ac:dyDescent="0.3">
      <c r="A5" t="s">
        <v>36</v>
      </c>
      <c r="B5" t="s">
        <v>37</v>
      </c>
      <c r="C5">
        <v>7.9260000000000002</v>
      </c>
      <c r="D5">
        <v>6.423</v>
      </c>
      <c r="F5" t="s">
        <v>23</v>
      </c>
      <c r="G5" t="s">
        <v>38</v>
      </c>
      <c r="H5" t="s">
        <v>25</v>
      </c>
      <c r="I5" t="s">
        <v>26</v>
      </c>
      <c r="J5" t="s">
        <v>39</v>
      </c>
      <c r="K5">
        <v>135</v>
      </c>
      <c r="L5">
        <f t="shared" si="0"/>
        <v>1182600000</v>
      </c>
      <c r="M5">
        <f>Sheet1!$D$5</f>
        <v>3.6999999999999999E-4</v>
      </c>
      <c r="N5">
        <f t="shared" si="1"/>
        <v>21.878100000000003</v>
      </c>
      <c r="O5">
        <f>Sheet1!$D$2</f>
        <v>1.9000000000000001E-4</v>
      </c>
      <c r="P5">
        <f t="shared" si="2"/>
        <v>11.2347</v>
      </c>
      <c r="Q5">
        <f>Sheet1!$D$3</f>
        <v>7.1999999999999998E-3</v>
      </c>
      <c r="R5">
        <f t="shared" si="3"/>
        <v>425.73599999999999</v>
      </c>
      <c r="S5">
        <f>Sheet1!$D$4</f>
        <v>4.3E-3</v>
      </c>
      <c r="T5">
        <f t="shared" si="4"/>
        <v>254.25900000000001</v>
      </c>
      <c r="U5" t="s">
        <v>27</v>
      </c>
    </row>
    <row r="6" spans="1:21" x14ac:dyDescent="0.3">
      <c r="A6" t="s">
        <v>40</v>
      </c>
      <c r="B6" t="s">
        <v>41</v>
      </c>
      <c r="C6">
        <v>6.4219239999999997</v>
      </c>
      <c r="D6">
        <v>6.4600650000000002</v>
      </c>
      <c r="F6" t="s">
        <v>42</v>
      </c>
      <c r="G6" t="s">
        <v>43</v>
      </c>
      <c r="H6" t="s">
        <v>25</v>
      </c>
      <c r="I6" t="s">
        <v>44</v>
      </c>
      <c r="J6">
        <v>600</v>
      </c>
      <c r="K6">
        <v>600</v>
      </c>
      <c r="L6">
        <f t="shared" si="0"/>
        <v>5256000000</v>
      </c>
      <c r="M6">
        <f>Sheet1!$D$5</f>
        <v>3.6999999999999999E-4</v>
      </c>
      <c r="N6">
        <f t="shared" si="1"/>
        <v>97.236000000000004</v>
      </c>
      <c r="O6">
        <f>Sheet1!$D$2</f>
        <v>1.9000000000000001E-4</v>
      </c>
      <c r="P6">
        <f t="shared" si="2"/>
        <v>49.932000000000002</v>
      </c>
      <c r="Q6">
        <f>Sheet1!$D$3</f>
        <v>7.1999999999999998E-3</v>
      </c>
      <c r="R6">
        <f t="shared" si="3"/>
        <v>1892.1599999999999</v>
      </c>
      <c r="S6">
        <f>Sheet1!$D$4</f>
        <v>4.3E-3</v>
      </c>
      <c r="T6">
        <f t="shared" si="4"/>
        <v>1130.04</v>
      </c>
      <c r="U6" t="s">
        <v>27</v>
      </c>
    </row>
    <row r="7" spans="1:21" x14ac:dyDescent="0.3">
      <c r="A7" t="s">
        <v>45</v>
      </c>
      <c r="B7" t="s">
        <v>46</v>
      </c>
      <c r="C7">
        <v>6.5661817999999998</v>
      </c>
      <c r="D7">
        <v>3.5946766999999999</v>
      </c>
      <c r="H7" t="s">
        <v>25</v>
      </c>
      <c r="L7">
        <f t="shared" si="0"/>
        <v>0</v>
      </c>
      <c r="M7">
        <f>Sheet1!$D$5</f>
        <v>3.6999999999999999E-4</v>
      </c>
      <c r="N7">
        <f t="shared" si="1"/>
        <v>0</v>
      </c>
      <c r="O7">
        <f>Sheet1!$D$2</f>
        <v>1.9000000000000001E-4</v>
      </c>
      <c r="P7">
        <f t="shared" si="2"/>
        <v>0</v>
      </c>
      <c r="Q7">
        <f>Sheet1!$D$3</f>
        <v>7.1999999999999998E-3</v>
      </c>
      <c r="R7">
        <f t="shared" si="3"/>
        <v>0</v>
      </c>
      <c r="S7">
        <f>Sheet1!$D$4</f>
        <v>4.3E-3</v>
      </c>
      <c r="T7">
        <f t="shared" si="4"/>
        <v>0</v>
      </c>
    </row>
    <row r="8" spans="1:21" x14ac:dyDescent="0.3">
      <c r="A8" t="s">
        <v>47</v>
      </c>
      <c r="B8" t="s">
        <v>48</v>
      </c>
      <c r="C8">
        <v>5.0310478999999999</v>
      </c>
      <c r="D8">
        <v>6.3015074000000002</v>
      </c>
      <c r="H8" t="s">
        <v>25</v>
      </c>
      <c r="L8">
        <f t="shared" si="0"/>
        <v>0</v>
      </c>
      <c r="M8">
        <f>Sheet1!$D$5</f>
        <v>3.6999999999999999E-4</v>
      </c>
      <c r="N8">
        <f t="shared" si="1"/>
        <v>0</v>
      </c>
      <c r="O8">
        <f>Sheet1!$D$2</f>
        <v>1.9000000000000001E-4</v>
      </c>
      <c r="P8">
        <f t="shared" si="2"/>
        <v>0</v>
      </c>
      <c r="Q8">
        <f>Sheet1!$D$3</f>
        <v>7.1999999999999998E-3</v>
      </c>
      <c r="R8">
        <f t="shared" si="3"/>
        <v>0</v>
      </c>
      <c r="S8">
        <f>Sheet1!$D$4</f>
        <v>4.3E-3</v>
      </c>
      <c r="T8">
        <f t="shared" si="4"/>
        <v>0</v>
      </c>
    </row>
    <row r="9" spans="1:21" x14ac:dyDescent="0.3">
      <c r="A9" t="s">
        <v>49</v>
      </c>
      <c r="B9" t="s">
        <v>50</v>
      </c>
      <c r="C9">
        <v>6.4110031000000003</v>
      </c>
      <c r="D9">
        <v>5.6803898000000004</v>
      </c>
      <c r="H9" t="s">
        <v>25</v>
      </c>
      <c r="L9">
        <f t="shared" si="0"/>
        <v>0</v>
      </c>
      <c r="M9">
        <f>Sheet1!$D$5</f>
        <v>3.6999999999999999E-4</v>
      </c>
      <c r="N9">
        <f t="shared" si="1"/>
        <v>0</v>
      </c>
      <c r="O9">
        <f>Sheet1!$D$2</f>
        <v>1.9000000000000001E-4</v>
      </c>
      <c r="P9">
        <f t="shared" si="2"/>
        <v>0</v>
      </c>
      <c r="Q9">
        <f>Sheet1!$D$3</f>
        <v>7.1999999999999998E-3</v>
      </c>
      <c r="R9">
        <f t="shared" si="3"/>
        <v>0</v>
      </c>
      <c r="S9">
        <f>Sheet1!$D$4</f>
        <v>4.3E-3</v>
      </c>
      <c r="T9">
        <f t="shared" si="4"/>
        <v>0</v>
      </c>
    </row>
    <row r="10" spans="1:21" x14ac:dyDescent="0.3">
      <c r="A10" t="s">
        <v>51</v>
      </c>
      <c r="B10" t="s">
        <v>52</v>
      </c>
      <c r="C10">
        <v>5.5656072999999999</v>
      </c>
      <c r="D10">
        <v>6.7383290000000002</v>
      </c>
      <c r="H10" t="s">
        <v>25</v>
      </c>
      <c r="L10">
        <f t="shared" si="0"/>
        <v>0</v>
      </c>
      <c r="M10">
        <f>Sheet1!$D$5</f>
        <v>3.6999999999999999E-4</v>
      </c>
      <c r="N10">
        <f t="shared" si="1"/>
        <v>0</v>
      </c>
      <c r="O10">
        <f>Sheet1!$D$2</f>
        <v>1.9000000000000001E-4</v>
      </c>
      <c r="P10">
        <f t="shared" si="2"/>
        <v>0</v>
      </c>
      <c r="Q10">
        <f>Sheet1!$D$3</f>
        <v>7.1999999999999998E-3</v>
      </c>
      <c r="R10">
        <f t="shared" si="3"/>
        <v>0</v>
      </c>
      <c r="S10">
        <f>Sheet1!$D$4</f>
        <v>4.3E-3</v>
      </c>
      <c r="T10">
        <f t="shared" si="4"/>
        <v>0</v>
      </c>
    </row>
    <row r="11" spans="1:21" x14ac:dyDescent="0.3">
      <c r="A11" t="s">
        <v>53</v>
      </c>
      <c r="B11" t="s">
        <v>54</v>
      </c>
      <c r="C11">
        <v>6.2622331000000004</v>
      </c>
      <c r="D11">
        <v>7.2770691000000003</v>
      </c>
      <c r="H11" t="s">
        <v>25</v>
      </c>
      <c r="L11">
        <f t="shared" si="0"/>
        <v>0</v>
      </c>
      <c r="M11">
        <f>Sheet1!$D$5</f>
        <v>3.6999999999999999E-4</v>
      </c>
      <c r="N11">
        <f t="shared" si="1"/>
        <v>0</v>
      </c>
      <c r="O11">
        <f>Sheet1!$D$2</f>
        <v>1.9000000000000001E-4</v>
      </c>
      <c r="P11">
        <f t="shared" si="2"/>
        <v>0</v>
      </c>
      <c r="Q11">
        <f>Sheet1!$D$3</f>
        <v>7.1999999999999998E-3</v>
      </c>
      <c r="R11">
        <f t="shared" si="3"/>
        <v>0</v>
      </c>
      <c r="S11">
        <f>Sheet1!$D$4</f>
        <v>4.3E-3</v>
      </c>
      <c r="T11">
        <f t="shared" si="4"/>
        <v>0</v>
      </c>
    </row>
    <row r="12" spans="1:21" x14ac:dyDescent="0.3">
      <c r="A12" t="s">
        <v>55</v>
      </c>
      <c r="B12" t="s">
        <v>56</v>
      </c>
      <c r="C12">
        <v>7.6750691</v>
      </c>
      <c r="D12">
        <v>7.6900814999999998</v>
      </c>
      <c r="H12" t="s">
        <v>25</v>
      </c>
      <c r="L12">
        <f t="shared" si="0"/>
        <v>0</v>
      </c>
      <c r="M12">
        <f>Sheet1!$D$5</f>
        <v>3.6999999999999999E-4</v>
      </c>
      <c r="N12">
        <f t="shared" si="1"/>
        <v>0</v>
      </c>
      <c r="O12">
        <f>Sheet1!$D$2</f>
        <v>1.9000000000000001E-4</v>
      </c>
      <c r="P12">
        <f t="shared" si="2"/>
        <v>0</v>
      </c>
      <c r="Q12">
        <f>Sheet1!$D$3</f>
        <v>7.1999999999999998E-3</v>
      </c>
      <c r="R12">
        <f t="shared" si="3"/>
        <v>0</v>
      </c>
      <c r="S12">
        <f>Sheet1!$D$4</f>
        <v>4.3E-3</v>
      </c>
      <c r="T12">
        <f t="shared" si="4"/>
        <v>0</v>
      </c>
    </row>
    <row r="13" spans="1:21" x14ac:dyDescent="0.3">
      <c r="A13" t="s">
        <v>57</v>
      </c>
      <c r="B13" t="s">
        <v>58</v>
      </c>
      <c r="C13">
        <v>4.8444577999999998</v>
      </c>
      <c r="D13">
        <v>7.2534578999999999</v>
      </c>
      <c r="H13" t="s">
        <v>25</v>
      </c>
      <c r="L13">
        <f t="shared" si="0"/>
        <v>0</v>
      </c>
      <c r="M13">
        <f>Sheet1!$D$5</f>
        <v>3.6999999999999999E-4</v>
      </c>
      <c r="N13">
        <f t="shared" si="1"/>
        <v>0</v>
      </c>
      <c r="O13">
        <f>Sheet1!$D$2</f>
        <v>1.9000000000000001E-4</v>
      </c>
      <c r="P13">
        <f t="shared" si="2"/>
        <v>0</v>
      </c>
      <c r="Q13">
        <f>Sheet1!$D$3</f>
        <v>7.1999999999999998E-3</v>
      </c>
      <c r="R13">
        <f t="shared" si="3"/>
        <v>0</v>
      </c>
      <c r="S13">
        <f>Sheet1!$D$4</f>
        <v>4.3E-3</v>
      </c>
      <c r="T13">
        <f t="shared" si="4"/>
        <v>0</v>
      </c>
    </row>
    <row r="14" spans="1:21" x14ac:dyDescent="0.3">
      <c r="A14" t="s">
        <v>59</v>
      </c>
      <c r="B14" t="s">
        <v>60</v>
      </c>
      <c r="C14">
        <v>6.5859319000000003</v>
      </c>
      <c r="D14">
        <v>3.5231688999999999</v>
      </c>
      <c r="H14" t="s">
        <v>25</v>
      </c>
      <c r="L14">
        <f t="shared" si="0"/>
        <v>0</v>
      </c>
      <c r="M14">
        <f>Sheet1!$D$5</f>
        <v>3.6999999999999999E-4</v>
      </c>
      <c r="N14">
        <f t="shared" si="1"/>
        <v>0</v>
      </c>
      <c r="O14">
        <f>Sheet1!$D$2</f>
        <v>1.9000000000000001E-4</v>
      </c>
      <c r="P14">
        <f t="shared" si="2"/>
        <v>0</v>
      </c>
      <c r="Q14">
        <f>Sheet1!$D$3</f>
        <v>7.1999999999999998E-3</v>
      </c>
      <c r="R14">
        <f t="shared" si="3"/>
        <v>0</v>
      </c>
      <c r="S14">
        <f>Sheet1!$D$4</f>
        <v>4.3E-3</v>
      </c>
      <c r="T14">
        <f t="shared" si="4"/>
        <v>0</v>
      </c>
    </row>
    <row r="15" spans="1:21" x14ac:dyDescent="0.3">
      <c r="A15" t="s">
        <v>61</v>
      </c>
      <c r="B15" t="s">
        <v>62</v>
      </c>
      <c r="C15">
        <v>9.9731205999999997</v>
      </c>
      <c r="D15">
        <v>6.8343433999999998</v>
      </c>
      <c r="H15" t="s">
        <v>25</v>
      </c>
      <c r="L15">
        <f t="shared" si="0"/>
        <v>0</v>
      </c>
      <c r="M15">
        <f>Sheet1!$D$5</f>
        <v>3.6999999999999999E-4</v>
      </c>
      <c r="N15">
        <f t="shared" si="1"/>
        <v>0</v>
      </c>
      <c r="O15">
        <f>Sheet1!$D$2</f>
        <v>1.9000000000000001E-4</v>
      </c>
      <c r="P15">
        <f t="shared" si="2"/>
        <v>0</v>
      </c>
      <c r="Q15">
        <f>Sheet1!$D$3</f>
        <v>7.1999999999999998E-3</v>
      </c>
      <c r="R15">
        <f t="shared" si="3"/>
        <v>0</v>
      </c>
      <c r="S15">
        <f>Sheet1!$D$4</f>
        <v>4.3E-3</v>
      </c>
      <c r="T15">
        <f t="shared" si="4"/>
        <v>0</v>
      </c>
    </row>
    <row r="16" spans="1:21" x14ac:dyDescent="0.3">
      <c r="A16" t="s">
        <v>63</v>
      </c>
      <c r="B16" t="s">
        <v>64</v>
      </c>
      <c r="C16">
        <v>9.4624813999999997</v>
      </c>
      <c r="D16">
        <v>7.3679633000000004</v>
      </c>
      <c r="H16" t="s">
        <v>25</v>
      </c>
      <c r="L16">
        <f t="shared" si="0"/>
        <v>0</v>
      </c>
      <c r="M16">
        <f>Sheet1!$D$5</f>
        <v>3.6999999999999999E-4</v>
      </c>
      <c r="N16">
        <f t="shared" si="1"/>
        <v>0</v>
      </c>
      <c r="O16">
        <f>Sheet1!$D$2</f>
        <v>1.9000000000000001E-4</v>
      </c>
      <c r="P16">
        <f t="shared" si="2"/>
        <v>0</v>
      </c>
      <c r="Q16">
        <f>Sheet1!$D$3</f>
        <v>7.1999999999999998E-3</v>
      </c>
      <c r="R16">
        <f t="shared" si="3"/>
        <v>0</v>
      </c>
      <c r="S16">
        <f>Sheet1!$D$4</f>
        <v>4.3E-3</v>
      </c>
      <c r="T16">
        <f t="shared" si="4"/>
        <v>0</v>
      </c>
    </row>
    <row r="17" spans="1:21" x14ac:dyDescent="0.3">
      <c r="A17" t="s">
        <v>65</v>
      </c>
      <c r="B17" t="s">
        <v>66</v>
      </c>
      <c r="C17">
        <v>4.8248094999999998</v>
      </c>
      <c r="D17">
        <v>7.0389115999999996</v>
      </c>
      <c r="H17" t="s">
        <v>25</v>
      </c>
      <c r="L17">
        <f t="shared" si="0"/>
        <v>0</v>
      </c>
      <c r="M17">
        <f>Sheet1!$D$5</f>
        <v>3.6999999999999999E-4</v>
      </c>
      <c r="N17">
        <f t="shared" si="1"/>
        <v>0</v>
      </c>
      <c r="O17">
        <f>Sheet1!$D$2</f>
        <v>1.9000000000000001E-4</v>
      </c>
      <c r="P17">
        <f t="shared" si="2"/>
        <v>0</v>
      </c>
      <c r="Q17">
        <f>Sheet1!$D$3</f>
        <v>7.1999999999999998E-3</v>
      </c>
      <c r="R17">
        <f t="shared" si="3"/>
        <v>0</v>
      </c>
      <c r="S17">
        <f>Sheet1!$D$4</f>
        <v>4.3E-3</v>
      </c>
      <c r="T17">
        <f t="shared" si="4"/>
        <v>0</v>
      </c>
    </row>
    <row r="18" spans="1:21" x14ac:dyDescent="0.3">
      <c r="A18" t="s">
        <v>67</v>
      </c>
      <c r="B18" t="s">
        <v>68</v>
      </c>
      <c r="C18">
        <v>9.6309839999999998</v>
      </c>
      <c r="D18">
        <v>10.818144999999999</v>
      </c>
      <c r="F18" t="s">
        <v>69</v>
      </c>
      <c r="G18" t="s">
        <v>70</v>
      </c>
      <c r="H18" t="s">
        <v>25</v>
      </c>
      <c r="I18" t="s">
        <v>71</v>
      </c>
      <c r="J18">
        <v>100</v>
      </c>
      <c r="K18">
        <v>100</v>
      </c>
      <c r="L18">
        <f t="shared" si="0"/>
        <v>876000000</v>
      </c>
      <c r="M18">
        <f>Sheet1!$D$5</f>
        <v>3.6999999999999999E-4</v>
      </c>
      <c r="N18">
        <f t="shared" si="1"/>
        <v>16.206</v>
      </c>
      <c r="O18">
        <f>Sheet1!$D$2</f>
        <v>1.9000000000000001E-4</v>
      </c>
      <c r="P18">
        <f t="shared" si="2"/>
        <v>8.322000000000001</v>
      </c>
      <c r="Q18">
        <f>Sheet1!$D$3</f>
        <v>7.1999999999999998E-3</v>
      </c>
      <c r="R18">
        <f t="shared" si="3"/>
        <v>315.36</v>
      </c>
      <c r="S18">
        <f>Sheet1!$D$4</f>
        <v>4.3E-3</v>
      </c>
      <c r="T18">
        <f t="shared" si="4"/>
        <v>188.34000000000003</v>
      </c>
      <c r="U18" t="s">
        <v>27</v>
      </c>
    </row>
    <row r="19" spans="1:21" x14ac:dyDescent="0.3">
      <c r="A19" t="s">
        <v>72</v>
      </c>
      <c r="B19" t="s">
        <v>73</v>
      </c>
      <c r="C19">
        <v>7.4108000000000001</v>
      </c>
      <c r="D19">
        <v>8.9739000000000004</v>
      </c>
      <c r="H19" t="s">
        <v>25</v>
      </c>
      <c r="I19" t="s">
        <v>26</v>
      </c>
      <c r="J19">
        <v>43.9</v>
      </c>
      <c r="K19">
        <v>43.9</v>
      </c>
      <c r="L19">
        <f t="shared" si="0"/>
        <v>384564000</v>
      </c>
      <c r="M19">
        <f>Sheet1!$D$5</f>
        <v>3.6999999999999999E-4</v>
      </c>
      <c r="N19">
        <f t="shared" si="1"/>
        <v>7.1144340000000001</v>
      </c>
      <c r="O19">
        <f>Sheet1!$D$2</f>
        <v>1.9000000000000001E-4</v>
      </c>
      <c r="P19">
        <f t="shared" si="2"/>
        <v>3.6533580000000003</v>
      </c>
      <c r="Q19">
        <f>Sheet1!$D$3</f>
        <v>7.1999999999999998E-3</v>
      </c>
      <c r="R19">
        <f t="shared" si="3"/>
        <v>138.44304</v>
      </c>
      <c r="S19">
        <f>Sheet1!$D$4</f>
        <v>4.3E-3</v>
      </c>
      <c r="T19">
        <f t="shared" si="4"/>
        <v>82.681260000000009</v>
      </c>
      <c r="U19" t="s">
        <v>74</v>
      </c>
    </row>
    <row r="20" spans="1:21" x14ac:dyDescent="0.3">
      <c r="A20" t="s">
        <v>75</v>
      </c>
      <c r="B20" t="s">
        <v>76</v>
      </c>
      <c r="C20">
        <v>0.3183067</v>
      </c>
      <c r="D20">
        <v>30.100384099999999</v>
      </c>
      <c r="H20" t="s">
        <v>77</v>
      </c>
      <c r="L20">
        <f t="shared" si="0"/>
        <v>0</v>
      </c>
      <c r="M20">
        <f>Sheet1!$D$5</f>
        <v>3.6999999999999999E-4</v>
      </c>
      <c r="N20">
        <f t="shared" si="1"/>
        <v>0</v>
      </c>
      <c r="O20">
        <f>Sheet1!$D$2</f>
        <v>1.9000000000000001E-4</v>
      </c>
      <c r="P20">
        <f t="shared" si="2"/>
        <v>0</v>
      </c>
      <c r="Q20">
        <f>Sheet1!$D$3</f>
        <v>7.1999999999999998E-3</v>
      </c>
      <c r="R20">
        <f t="shared" si="3"/>
        <v>0</v>
      </c>
      <c r="S20">
        <f>Sheet1!$D$4</f>
        <v>4.3E-3</v>
      </c>
      <c r="T20">
        <f t="shared" si="4"/>
        <v>0</v>
      </c>
    </row>
    <row r="21" spans="1:21" x14ac:dyDescent="0.3">
      <c r="A21" t="s">
        <v>78</v>
      </c>
      <c r="B21" t="s">
        <v>79</v>
      </c>
      <c r="C21">
        <v>6.6400799999999996E-2</v>
      </c>
      <c r="D21">
        <v>30.321342900000001</v>
      </c>
      <c r="H21" t="s">
        <v>77</v>
      </c>
      <c r="L21">
        <f t="shared" si="0"/>
        <v>0</v>
      </c>
      <c r="M21">
        <f>Sheet1!$D$5</f>
        <v>3.6999999999999999E-4</v>
      </c>
      <c r="N21">
        <f t="shared" si="1"/>
        <v>0</v>
      </c>
      <c r="O21">
        <f>Sheet1!$D$2</f>
        <v>1.9000000000000001E-4</v>
      </c>
      <c r="P21">
        <f t="shared" si="2"/>
        <v>0</v>
      </c>
      <c r="Q21">
        <f>Sheet1!$D$3</f>
        <v>7.1999999999999998E-3</v>
      </c>
      <c r="R21">
        <f t="shared" si="3"/>
        <v>0</v>
      </c>
      <c r="S21">
        <f>Sheet1!$D$4</f>
        <v>4.3E-3</v>
      </c>
      <c r="T21">
        <f t="shared" si="4"/>
        <v>0</v>
      </c>
    </row>
    <row r="22" spans="1:21" x14ac:dyDescent="0.3">
      <c r="A22" t="s">
        <v>80</v>
      </c>
      <c r="B22" t="s">
        <v>81</v>
      </c>
      <c r="C22">
        <v>0.30536000000000002</v>
      </c>
      <c r="D22">
        <v>30.0979116</v>
      </c>
      <c r="H22" t="s">
        <v>77</v>
      </c>
      <c r="L22">
        <f t="shared" si="0"/>
        <v>0</v>
      </c>
      <c r="M22">
        <f>Sheet1!$D$5</f>
        <v>3.6999999999999999E-4</v>
      </c>
      <c r="N22">
        <f t="shared" si="1"/>
        <v>0</v>
      </c>
      <c r="O22">
        <f>Sheet1!$D$2</f>
        <v>1.9000000000000001E-4</v>
      </c>
      <c r="P22">
        <f t="shared" si="2"/>
        <v>0</v>
      </c>
      <c r="Q22">
        <f>Sheet1!$D$3</f>
        <v>7.1999999999999998E-3</v>
      </c>
      <c r="R22">
        <f t="shared" si="3"/>
        <v>0</v>
      </c>
      <c r="S22">
        <f>Sheet1!$D$4</f>
        <v>4.3E-3</v>
      </c>
      <c r="T22">
        <f t="shared" si="4"/>
        <v>0</v>
      </c>
    </row>
    <row r="23" spans="1:21" x14ac:dyDescent="0.3">
      <c r="A23" t="s">
        <v>82</v>
      </c>
      <c r="B23" t="s">
        <v>83</v>
      </c>
      <c r="C23">
        <v>1.1204641</v>
      </c>
      <c r="D23">
        <v>30.668633799999999</v>
      </c>
      <c r="H23" t="s">
        <v>77</v>
      </c>
      <c r="L23">
        <f t="shared" si="0"/>
        <v>0</v>
      </c>
      <c r="M23">
        <f>Sheet1!$D$5</f>
        <v>3.6999999999999999E-4</v>
      </c>
      <c r="N23">
        <f t="shared" si="1"/>
        <v>0</v>
      </c>
      <c r="O23">
        <f>Sheet1!$D$2</f>
        <v>1.9000000000000001E-4</v>
      </c>
      <c r="P23">
        <f t="shared" si="2"/>
        <v>0</v>
      </c>
      <c r="Q23">
        <f>Sheet1!$D$3</f>
        <v>7.1999999999999998E-3</v>
      </c>
      <c r="R23">
        <f t="shared" si="3"/>
        <v>0</v>
      </c>
      <c r="S23">
        <f>Sheet1!$D$4</f>
        <v>4.3E-3</v>
      </c>
      <c r="T23">
        <f t="shared" si="4"/>
        <v>0</v>
      </c>
    </row>
    <row r="24" spans="1:21" x14ac:dyDescent="0.3">
      <c r="A24" t="s">
        <v>84</v>
      </c>
      <c r="B24" t="s">
        <v>85</v>
      </c>
      <c r="C24">
        <v>0.260349</v>
      </c>
      <c r="D24">
        <v>30.149363699999999</v>
      </c>
      <c r="H24" t="s">
        <v>77</v>
      </c>
      <c r="L24">
        <f t="shared" si="0"/>
        <v>0</v>
      </c>
      <c r="M24">
        <f>Sheet1!$D$5</f>
        <v>3.6999999999999999E-4</v>
      </c>
      <c r="N24">
        <f t="shared" si="1"/>
        <v>0</v>
      </c>
      <c r="O24">
        <f>Sheet1!$D$2</f>
        <v>1.9000000000000001E-4</v>
      </c>
      <c r="P24">
        <f t="shared" si="2"/>
        <v>0</v>
      </c>
      <c r="Q24">
        <f>Sheet1!$D$3</f>
        <v>7.1999999999999998E-3</v>
      </c>
      <c r="R24">
        <f t="shared" si="3"/>
        <v>0</v>
      </c>
      <c r="S24">
        <f>Sheet1!$D$4</f>
        <v>4.3E-3</v>
      </c>
      <c r="T24">
        <f t="shared" si="4"/>
        <v>0</v>
      </c>
    </row>
    <row r="25" spans="1:21" x14ac:dyDescent="0.3">
      <c r="A25" t="s">
        <v>86</v>
      </c>
      <c r="B25" t="s">
        <v>87</v>
      </c>
      <c r="C25">
        <v>2.4282002</v>
      </c>
      <c r="D25">
        <v>30.9733178</v>
      </c>
      <c r="H25" t="s">
        <v>77</v>
      </c>
      <c r="L25">
        <f t="shared" si="0"/>
        <v>0</v>
      </c>
      <c r="M25">
        <f>Sheet1!$D$5</f>
        <v>3.6999999999999999E-4</v>
      </c>
      <c r="N25">
        <f t="shared" si="1"/>
        <v>0</v>
      </c>
      <c r="O25">
        <f>Sheet1!$D$2</f>
        <v>1.9000000000000001E-4</v>
      </c>
      <c r="P25">
        <f t="shared" si="2"/>
        <v>0</v>
      </c>
      <c r="Q25">
        <f>Sheet1!$D$3</f>
        <v>7.1999999999999998E-3</v>
      </c>
      <c r="R25">
        <f t="shared" si="3"/>
        <v>0</v>
      </c>
      <c r="S25">
        <f>Sheet1!$D$4</f>
        <v>4.3E-3</v>
      </c>
      <c r="T25">
        <f t="shared" si="4"/>
        <v>0</v>
      </c>
    </row>
    <row r="26" spans="1:21" x14ac:dyDescent="0.3">
      <c r="A26" t="s">
        <v>88</v>
      </c>
      <c r="B26" t="s">
        <v>89</v>
      </c>
      <c r="C26">
        <v>0.47853869999999998</v>
      </c>
      <c r="D26">
        <v>30.273048299999999</v>
      </c>
      <c r="H26" t="s">
        <v>77</v>
      </c>
      <c r="L26">
        <f t="shared" si="0"/>
        <v>0</v>
      </c>
      <c r="M26">
        <f>Sheet1!$D$5</f>
        <v>3.6999999999999999E-4</v>
      </c>
      <c r="N26">
        <f t="shared" si="1"/>
        <v>0</v>
      </c>
      <c r="O26">
        <f>Sheet1!$D$2</f>
        <v>1.9000000000000001E-4</v>
      </c>
      <c r="P26">
        <f t="shared" si="2"/>
        <v>0</v>
      </c>
      <c r="Q26">
        <f>Sheet1!$D$3</f>
        <v>7.1999999999999998E-3</v>
      </c>
      <c r="R26">
        <f t="shared" si="3"/>
        <v>0</v>
      </c>
      <c r="S26">
        <f>Sheet1!$D$4</f>
        <v>4.3E-3</v>
      </c>
      <c r="T26">
        <f t="shared" si="4"/>
        <v>0</v>
      </c>
    </row>
    <row r="27" spans="1:21" x14ac:dyDescent="0.3">
      <c r="A27" t="s">
        <v>90</v>
      </c>
      <c r="B27" t="s">
        <v>91</v>
      </c>
      <c r="C27">
        <v>0.57614430000000005</v>
      </c>
      <c r="D27">
        <v>31.7195459</v>
      </c>
      <c r="H27" t="s">
        <v>77</v>
      </c>
      <c r="L27">
        <f t="shared" si="0"/>
        <v>0</v>
      </c>
      <c r="M27">
        <f>Sheet1!$D$5</f>
        <v>3.6999999999999999E-4</v>
      </c>
      <c r="N27">
        <f t="shared" si="1"/>
        <v>0</v>
      </c>
      <c r="O27">
        <f>Sheet1!$D$2</f>
        <v>1.9000000000000001E-4</v>
      </c>
      <c r="P27">
        <f t="shared" si="2"/>
        <v>0</v>
      </c>
      <c r="Q27">
        <f>Sheet1!$D$3</f>
        <v>7.1999999999999998E-3</v>
      </c>
      <c r="R27">
        <f t="shared" si="3"/>
        <v>0</v>
      </c>
      <c r="S27">
        <f>Sheet1!$D$4</f>
        <v>4.3E-3</v>
      </c>
      <c r="T27">
        <f t="shared" si="4"/>
        <v>0</v>
      </c>
    </row>
    <row r="28" spans="1:21" x14ac:dyDescent="0.3">
      <c r="A28" t="s">
        <v>92</v>
      </c>
      <c r="B28" t="s">
        <v>93</v>
      </c>
      <c r="C28">
        <v>0.34466150000000001</v>
      </c>
      <c r="D28">
        <v>32.593772399999999</v>
      </c>
      <c r="H28" t="s">
        <v>77</v>
      </c>
      <c r="L28">
        <f t="shared" si="0"/>
        <v>0</v>
      </c>
      <c r="M28">
        <f>Sheet1!$D$5</f>
        <v>3.6999999999999999E-4</v>
      </c>
      <c r="N28">
        <f t="shared" si="1"/>
        <v>0</v>
      </c>
      <c r="O28">
        <f>Sheet1!$D$2</f>
        <v>1.9000000000000001E-4</v>
      </c>
      <c r="P28">
        <f t="shared" si="2"/>
        <v>0</v>
      </c>
      <c r="Q28">
        <f>Sheet1!$D$3</f>
        <v>7.1999999999999998E-3</v>
      </c>
      <c r="R28">
        <f t="shared" si="3"/>
        <v>0</v>
      </c>
      <c r="S28">
        <f>Sheet1!$D$4</f>
        <v>4.3E-3</v>
      </c>
      <c r="T28">
        <f t="shared" si="4"/>
        <v>0</v>
      </c>
    </row>
    <row r="29" spans="1:21" x14ac:dyDescent="0.3">
      <c r="A29" t="s">
        <v>94</v>
      </c>
      <c r="B29" t="s">
        <v>95</v>
      </c>
      <c r="C29">
        <v>0.16218099999999999</v>
      </c>
      <c r="D29">
        <v>31.802910000000001</v>
      </c>
      <c r="H29" t="s">
        <v>77</v>
      </c>
      <c r="L29">
        <f t="shared" si="0"/>
        <v>0</v>
      </c>
      <c r="M29">
        <f>Sheet1!$D$5</f>
        <v>3.6999999999999999E-4</v>
      </c>
      <c r="N29">
        <f t="shared" si="1"/>
        <v>0</v>
      </c>
      <c r="O29">
        <f>Sheet1!$D$2</f>
        <v>1.9000000000000001E-4</v>
      </c>
      <c r="P29">
        <f t="shared" si="2"/>
        <v>0</v>
      </c>
      <c r="Q29">
        <f>Sheet1!$D$3</f>
        <v>7.1999999999999998E-3</v>
      </c>
      <c r="R29">
        <f t="shared" si="3"/>
        <v>0</v>
      </c>
      <c r="S29">
        <f>Sheet1!$D$4</f>
        <v>4.3E-3</v>
      </c>
      <c r="T29">
        <f t="shared" si="4"/>
        <v>0</v>
      </c>
    </row>
    <row r="30" spans="1:21" x14ac:dyDescent="0.3">
      <c r="A30" t="s">
        <v>96</v>
      </c>
      <c r="B30" t="s">
        <v>97</v>
      </c>
      <c r="C30">
        <v>-0.99579260000000003</v>
      </c>
      <c r="D30">
        <v>29.961840599999999</v>
      </c>
      <c r="H30" t="s">
        <v>77</v>
      </c>
      <c r="L30">
        <f t="shared" si="0"/>
        <v>0</v>
      </c>
      <c r="M30">
        <f>Sheet1!$D$5</f>
        <v>3.6999999999999999E-4</v>
      </c>
      <c r="N30">
        <f t="shared" si="1"/>
        <v>0</v>
      </c>
      <c r="O30">
        <f>Sheet1!$D$2</f>
        <v>1.9000000000000001E-4</v>
      </c>
      <c r="P30">
        <f t="shared" si="2"/>
        <v>0</v>
      </c>
      <c r="Q30">
        <f>Sheet1!$D$3</f>
        <v>7.1999999999999998E-3</v>
      </c>
      <c r="R30">
        <f t="shared" si="3"/>
        <v>0</v>
      </c>
      <c r="S30">
        <f>Sheet1!$D$4</f>
        <v>4.3E-3</v>
      </c>
      <c r="T30">
        <f t="shared" si="4"/>
        <v>0</v>
      </c>
    </row>
    <row r="31" spans="1:21" x14ac:dyDescent="0.3">
      <c r="A31" t="s">
        <v>98</v>
      </c>
      <c r="B31" t="s">
        <v>99</v>
      </c>
      <c r="C31">
        <v>0.17251649999999999</v>
      </c>
      <c r="D31">
        <v>32.568187100000003</v>
      </c>
      <c r="H31" t="s">
        <v>77</v>
      </c>
      <c r="L31">
        <f t="shared" si="0"/>
        <v>0</v>
      </c>
      <c r="M31">
        <f>Sheet1!$D$5</f>
        <v>3.6999999999999999E-4</v>
      </c>
      <c r="N31">
        <f t="shared" si="1"/>
        <v>0</v>
      </c>
      <c r="O31">
        <f>Sheet1!$D$2</f>
        <v>1.9000000000000001E-4</v>
      </c>
      <c r="P31">
        <f t="shared" si="2"/>
        <v>0</v>
      </c>
      <c r="Q31">
        <f>Sheet1!$D$3</f>
        <v>7.1999999999999998E-3</v>
      </c>
      <c r="R31">
        <f t="shared" si="3"/>
        <v>0</v>
      </c>
      <c r="S31">
        <f>Sheet1!$D$4</f>
        <v>4.3E-3</v>
      </c>
      <c r="T31">
        <f t="shared" si="4"/>
        <v>0</v>
      </c>
    </row>
    <row r="32" spans="1:21" x14ac:dyDescent="0.3">
      <c r="A32" t="s">
        <v>100</v>
      </c>
      <c r="B32" t="s">
        <v>101</v>
      </c>
      <c r="C32">
        <v>0.63211569999999995</v>
      </c>
      <c r="D32">
        <v>34.158329600000002</v>
      </c>
      <c r="H32" t="s">
        <v>77</v>
      </c>
      <c r="L32">
        <f t="shared" si="0"/>
        <v>0</v>
      </c>
      <c r="M32">
        <f>Sheet1!$D$5</f>
        <v>3.6999999999999999E-4</v>
      </c>
      <c r="N32">
        <f t="shared" si="1"/>
        <v>0</v>
      </c>
      <c r="O32">
        <f>Sheet1!$D$2</f>
        <v>1.9000000000000001E-4</v>
      </c>
      <c r="P32">
        <f t="shared" si="2"/>
        <v>0</v>
      </c>
      <c r="Q32">
        <f>Sheet1!$D$3</f>
        <v>7.1999999999999998E-3</v>
      </c>
      <c r="R32">
        <f t="shared" si="3"/>
        <v>0</v>
      </c>
      <c r="S32">
        <f>Sheet1!$D$4</f>
        <v>4.3E-3</v>
      </c>
      <c r="T32">
        <f t="shared" si="4"/>
        <v>0</v>
      </c>
    </row>
    <row r="33" spans="1:20" x14ac:dyDescent="0.3">
      <c r="A33" t="s">
        <v>102</v>
      </c>
      <c r="B33" t="s">
        <v>103</v>
      </c>
      <c r="C33">
        <v>0.63722049999999997</v>
      </c>
      <c r="D33">
        <v>34.116661899999997</v>
      </c>
      <c r="H33" t="s">
        <v>77</v>
      </c>
      <c r="L33">
        <f t="shared" si="0"/>
        <v>0</v>
      </c>
      <c r="M33">
        <f>Sheet1!$D$5</f>
        <v>3.6999999999999999E-4</v>
      </c>
      <c r="N33">
        <f t="shared" si="1"/>
        <v>0</v>
      </c>
      <c r="O33">
        <f>Sheet1!$D$2</f>
        <v>1.9000000000000001E-4</v>
      </c>
      <c r="P33">
        <f t="shared" si="2"/>
        <v>0</v>
      </c>
      <c r="Q33">
        <f>Sheet1!$D$3</f>
        <v>7.1999999999999998E-3</v>
      </c>
      <c r="R33">
        <f t="shared" si="3"/>
        <v>0</v>
      </c>
      <c r="S33">
        <f>Sheet1!$D$4</f>
        <v>4.3E-3</v>
      </c>
      <c r="T33">
        <f t="shared" si="4"/>
        <v>0</v>
      </c>
    </row>
    <row r="34" spans="1:20" x14ac:dyDescent="0.3">
      <c r="A34" t="s">
        <v>104</v>
      </c>
      <c r="B34" t="s">
        <v>105</v>
      </c>
      <c r="C34">
        <v>0.4502929</v>
      </c>
      <c r="D34">
        <v>33.185575999999998</v>
      </c>
      <c r="H34" t="s">
        <v>77</v>
      </c>
      <c r="L34">
        <f t="shared" si="0"/>
        <v>0</v>
      </c>
      <c r="M34">
        <f>Sheet1!$D$5</f>
        <v>3.6999999999999999E-4</v>
      </c>
      <c r="N34">
        <f t="shared" si="1"/>
        <v>0</v>
      </c>
      <c r="O34">
        <f>Sheet1!$D$2</f>
        <v>1.9000000000000001E-4</v>
      </c>
      <c r="P34">
        <f t="shared" si="2"/>
        <v>0</v>
      </c>
      <c r="Q34">
        <f>Sheet1!$D$3</f>
        <v>7.1999999999999998E-3</v>
      </c>
      <c r="R34">
        <f t="shared" si="3"/>
        <v>0</v>
      </c>
      <c r="S34">
        <f>Sheet1!$D$4</f>
        <v>4.3E-3</v>
      </c>
      <c r="T34">
        <f t="shared" si="4"/>
        <v>0</v>
      </c>
    </row>
    <row r="35" spans="1:20" x14ac:dyDescent="0.3">
      <c r="A35" t="s">
        <v>106</v>
      </c>
      <c r="B35" t="s">
        <v>107</v>
      </c>
      <c r="C35">
        <v>0.37985479999999999</v>
      </c>
      <c r="D35">
        <v>32.945019700000003</v>
      </c>
      <c r="H35" t="s">
        <v>77</v>
      </c>
      <c r="L35">
        <f t="shared" si="0"/>
        <v>0</v>
      </c>
      <c r="M35">
        <f>Sheet1!$D$5</f>
        <v>3.6999999999999999E-4</v>
      </c>
      <c r="N35">
        <f t="shared" si="1"/>
        <v>0</v>
      </c>
      <c r="O35">
        <f>Sheet1!$D$2</f>
        <v>1.9000000000000001E-4</v>
      </c>
      <c r="P35">
        <f t="shared" si="2"/>
        <v>0</v>
      </c>
      <c r="Q35">
        <f>Sheet1!$D$3</f>
        <v>7.1999999999999998E-3</v>
      </c>
      <c r="R35">
        <f t="shared" si="3"/>
        <v>0</v>
      </c>
      <c r="S35">
        <f>Sheet1!$D$4</f>
        <v>4.3E-3</v>
      </c>
      <c r="T35">
        <f t="shared" si="4"/>
        <v>0</v>
      </c>
    </row>
    <row r="36" spans="1:20" x14ac:dyDescent="0.3">
      <c r="A36" t="s">
        <v>108</v>
      </c>
      <c r="B36" t="s">
        <v>109</v>
      </c>
      <c r="C36">
        <v>0.14154800000000001</v>
      </c>
      <c r="D36">
        <v>29.931688000000001</v>
      </c>
      <c r="H36" t="s">
        <v>77</v>
      </c>
      <c r="L36">
        <f t="shared" si="0"/>
        <v>0</v>
      </c>
      <c r="M36">
        <f>Sheet1!$D$5</f>
        <v>3.6999999999999999E-4</v>
      </c>
      <c r="N36">
        <f t="shared" si="1"/>
        <v>0</v>
      </c>
      <c r="O36">
        <f>Sheet1!$D$2</f>
        <v>1.9000000000000001E-4</v>
      </c>
      <c r="P36">
        <f t="shared" si="2"/>
        <v>0</v>
      </c>
      <c r="Q36">
        <f>Sheet1!$D$3</f>
        <v>7.1999999999999998E-3</v>
      </c>
      <c r="R36">
        <f t="shared" si="3"/>
        <v>0</v>
      </c>
      <c r="S36">
        <f>Sheet1!$D$4</f>
        <v>4.3E-3</v>
      </c>
      <c r="T36">
        <f t="shared" si="4"/>
        <v>0</v>
      </c>
    </row>
    <row r="37" spans="1:20" x14ac:dyDescent="0.3">
      <c r="A37" t="s">
        <v>110</v>
      </c>
      <c r="B37" t="s">
        <v>111</v>
      </c>
      <c r="C37">
        <v>0.68517629999999996</v>
      </c>
      <c r="D37">
        <v>30.020296399999999</v>
      </c>
      <c r="H37" t="s">
        <v>77</v>
      </c>
      <c r="L37">
        <f t="shared" si="0"/>
        <v>0</v>
      </c>
      <c r="M37">
        <f>Sheet1!$D$5</f>
        <v>3.6999999999999999E-4</v>
      </c>
      <c r="N37">
        <f t="shared" si="1"/>
        <v>0</v>
      </c>
      <c r="O37">
        <f>Sheet1!$D$2</f>
        <v>1.9000000000000001E-4</v>
      </c>
      <c r="P37">
        <f t="shared" si="2"/>
        <v>0</v>
      </c>
      <c r="Q37">
        <f>Sheet1!$D$3</f>
        <v>7.1999999999999998E-3</v>
      </c>
      <c r="R37">
        <f t="shared" si="3"/>
        <v>0</v>
      </c>
      <c r="S37">
        <f>Sheet1!$D$4</f>
        <v>4.3E-3</v>
      </c>
      <c r="T37">
        <f t="shared" si="4"/>
        <v>0</v>
      </c>
    </row>
    <row r="38" spans="1:20" x14ac:dyDescent="0.3">
      <c r="A38" t="s">
        <v>112</v>
      </c>
      <c r="B38" t="s">
        <v>113</v>
      </c>
      <c r="C38">
        <v>0.50891739999999996</v>
      </c>
      <c r="D38">
        <v>33.2899691</v>
      </c>
      <c r="H38" t="s">
        <v>77</v>
      </c>
      <c r="L38">
        <f t="shared" si="0"/>
        <v>0</v>
      </c>
      <c r="M38">
        <f>Sheet1!$D$5</f>
        <v>3.6999999999999999E-4</v>
      </c>
      <c r="N38">
        <f t="shared" si="1"/>
        <v>0</v>
      </c>
      <c r="O38">
        <f>Sheet1!$D$2</f>
        <v>1.9000000000000001E-4</v>
      </c>
      <c r="P38">
        <f t="shared" si="2"/>
        <v>0</v>
      </c>
      <c r="Q38">
        <f>Sheet1!$D$3</f>
        <v>7.1999999999999998E-3</v>
      </c>
      <c r="R38">
        <f t="shared" si="3"/>
        <v>0</v>
      </c>
      <c r="S38">
        <f>Sheet1!$D$4</f>
        <v>4.3E-3</v>
      </c>
      <c r="T38">
        <f t="shared" si="4"/>
        <v>0</v>
      </c>
    </row>
    <row r="39" spans="1:20" x14ac:dyDescent="0.3">
      <c r="A39" t="s">
        <v>114</v>
      </c>
      <c r="B39" t="s">
        <v>115</v>
      </c>
      <c r="C39">
        <v>0.61562810000000001</v>
      </c>
      <c r="D39">
        <v>29.979440700000001</v>
      </c>
      <c r="H39" t="s">
        <v>77</v>
      </c>
      <c r="L39">
        <f t="shared" si="0"/>
        <v>0</v>
      </c>
      <c r="M39">
        <f>Sheet1!$D$5</f>
        <v>3.6999999999999999E-4</v>
      </c>
      <c r="N39">
        <f t="shared" si="1"/>
        <v>0</v>
      </c>
      <c r="O39">
        <f>Sheet1!$D$2</f>
        <v>1.9000000000000001E-4</v>
      </c>
      <c r="P39">
        <f t="shared" si="2"/>
        <v>0</v>
      </c>
      <c r="Q39">
        <f>Sheet1!$D$3</f>
        <v>7.1999999999999998E-3</v>
      </c>
      <c r="R39">
        <f t="shared" si="3"/>
        <v>0</v>
      </c>
      <c r="S39">
        <f>Sheet1!$D$4</f>
        <v>4.3E-3</v>
      </c>
      <c r="T39">
        <f t="shared" si="4"/>
        <v>0</v>
      </c>
    </row>
    <row r="40" spans="1:20" x14ac:dyDescent="0.3">
      <c r="A40" t="s">
        <v>116</v>
      </c>
      <c r="B40" t="s">
        <v>117</v>
      </c>
      <c r="C40">
        <v>5.6788483999999997</v>
      </c>
      <c r="D40">
        <v>4.6797199999999997E-2</v>
      </c>
      <c r="H40" t="s">
        <v>118</v>
      </c>
      <c r="L40">
        <f t="shared" si="0"/>
        <v>0</v>
      </c>
      <c r="M40">
        <f>Sheet1!$D$5</f>
        <v>3.6999999999999999E-4</v>
      </c>
      <c r="N40">
        <f t="shared" si="1"/>
        <v>0</v>
      </c>
      <c r="O40">
        <f>Sheet1!$D$2</f>
        <v>1.9000000000000001E-4</v>
      </c>
      <c r="P40">
        <f t="shared" si="2"/>
        <v>0</v>
      </c>
      <c r="Q40">
        <f>Sheet1!$D$3</f>
        <v>7.1999999999999998E-3</v>
      </c>
      <c r="R40">
        <f t="shared" si="3"/>
        <v>0</v>
      </c>
      <c r="S40">
        <f>Sheet1!$D$4</f>
        <v>4.3E-3</v>
      </c>
      <c r="T40">
        <f t="shared" si="4"/>
        <v>0</v>
      </c>
    </row>
    <row r="41" spans="1:20" x14ac:dyDescent="0.3">
      <c r="A41" t="s">
        <v>119</v>
      </c>
      <c r="B41" t="s">
        <v>120</v>
      </c>
      <c r="C41">
        <v>5.7360445000000002</v>
      </c>
      <c r="D41">
        <v>9.0933999999999997E-3</v>
      </c>
      <c r="H41" t="s">
        <v>118</v>
      </c>
      <c r="L41">
        <f t="shared" si="0"/>
        <v>0</v>
      </c>
      <c r="M41">
        <f>Sheet1!$D$5</f>
        <v>3.6999999999999999E-4</v>
      </c>
      <c r="N41">
        <f t="shared" si="1"/>
        <v>0</v>
      </c>
      <c r="O41">
        <f>Sheet1!$D$2</f>
        <v>1.9000000000000001E-4</v>
      </c>
      <c r="P41">
        <f t="shared" si="2"/>
        <v>0</v>
      </c>
      <c r="Q41">
        <f>Sheet1!$D$3</f>
        <v>7.1999999999999998E-3</v>
      </c>
      <c r="R41">
        <f t="shared" si="3"/>
        <v>0</v>
      </c>
      <c r="S41">
        <f>Sheet1!$D$4</f>
        <v>4.3E-3</v>
      </c>
      <c r="T41">
        <f t="shared" si="4"/>
        <v>0</v>
      </c>
    </row>
    <row r="42" spans="1:20" x14ac:dyDescent="0.3">
      <c r="A42" t="s">
        <v>121</v>
      </c>
      <c r="B42" t="s">
        <v>122</v>
      </c>
      <c r="C42">
        <v>5.6747055</v>
      </c>
      <c r="D42">
        <v>1.1861E-2</v>
      </c>
      <c r="H42" t="s">
        <v>118</v>
      </c>
      <c r="L42">
        <f t="shared" si="0"/>
        <v>0</v>
      </c>
      <c r="M42">
        <f>Sheet1!$D$5</f>
        <v>3.6999999999999999E-4</v>
      </c>
      <c r="N42">
        <f t="shared" si="1"/>
        <v>0</v>
      </c>
      <c r="O42">
        <f>Sheet1!$D$2</f>
        <v>1.9000000000000001E-4</v>
      </c>
      <c r="P42">
        <f t="shared" si="2"/>
        <v>0</v>
      </c>
      <c r="Q42">
        <f>Sheet1!$D$3</f>
        <v>7.1999999999999998E-3</v>
      </c>
      <c r="R42">
        <f t="shared" si="3"/>
        <v>0</v>
      </c>
      <c r="S42">
        <f>Sheet1!$D$4</f>
        <v>4.3E-3</v>
      </c>
      <c r="T42">
        <f t="shared" si="4"/>
        <v>0</v>
      </c>
    </row>
    <row r="43" spans="1:20" x14ac:dyDescent="0.3">
      <c r="A43" t="s">
        <v>123</v>
      </c>
      <c r="B43" t="s">
        <v>124</v>
      </c>
      <c r="C43">
        <v>4.9687311000000003</v>
      </c>
      <c r="D43">
        <v>-1.6664433999999999</v>
      </c>
      <c r="H43" t="s">
        <v>118</v>
      </c>
      <c r="L43">
        <f t="shared" si="0"/>
        <v>0</v>
      </c>
      <c r="M43">
        <f>Sheet1!$D$5</f>
        <v>3.6999999999999999E-4</v>
      </c>
      <c r="N43">
        <f t="shared" si="1"/>
        <v>0</v>
      </c>
      <c r="O43">
        <f>Sheet1!$D$2</f>
        <v>1.9000000000000001E-4</v>
      </c>
      <c r="P43">
        <f t="shared" si="2"/>
        <v>0</v>
      </c>
      <c r="Q43">
        <f>Sheet1!$D$3</f>
        <v>7.1999999999999998E-3</v>
      </c>
      <c r="R43">
        <f t="shared" si="3"/>
        <v>0</v>
      </c>
      <c r="S43">
        <f>Sheet1!$D$4</f>
        <v>4.3E-3</v>
      </c>
      <c r="T43">
        <f t="shared" si="4"/>
        <v>0</v>
      </c>
    </row>
    <row r="44" spans="1:20" x14ac:dyDescent="0.3">
      <c r="A44" t="s">
        <v>125</v>
      </c>
      <c r="B44" t="s">
        <v>126</v>
      </c>
      <c r="C44">
        <v>5.6808455000000002</v>
      </c>
      <c r="D44">
        <v>4.05072E-2</v>
      </c>
      <c r="H44" t="s">
        <v>118</v>
      </c>
      <c r="L44">
        <f t="shared" si="0"/>
        <v>0</v>
      </c>
      <c r="M44">
        <f>Sheet1!$D$5</f>
        <v>3.6999999999999999E-4</v>
      </c>
      <c r="N44">
        <f t="shared" si="1"/>
        <v>0</v>
      </c>
      <c r="O44">
        <f>Sheet1!$D$2</f>
        <v>1.9000000000000001E-4</v>
      </c>
      <c r="P44">
        <f t="shared" si="2"/>
        <v>0</v>
      </c>
      <c r="Q44">
        <f>Sheet1!$D$3</f>
        <v>7.1999999999999998E-3</v>
      </c>
      <c r="R44">
        <f t="shared" si="3"/>
        <v>0</v>
      </c>
      <c r="S44">
        <f>Sheet1!$D$4</f>
        <v>4.3E-3</v>
      </c>
      <c r="T44">
        <f t="shared" si="4"/>
        <v>0</v>
      </c>
    </row>
    <row r="45" spans="1:20" x14ac:dyDescent="0.3">
      <c r="A45" t="s">
        <v>127</v>
      </c>
      <c r="B45" t="s">
        <v>128</v>
      </c>
      <c r="C45">
        <v>10.1744488</v>
      </c>
      <c r="D45">
        <v>-2.5343935000000002</v>
      </c>
      <c r="H45" t="s">
        <v>118</v>
      </c>
      <c r="L45">
        <f t="shared" si="0"/>
        <v>0</v>
      </c>
      <c r="M45">
        <f>Sheet1!$D$5</f>
        <v>3.6999999999999999E-4</v>
      </c>
      <c r="N45">
        <f t="shared" si="1"/>
        <v>0</v>
      </c>
      <c r="O45">
        <f>Sheet1!$D$2</f>
        <v>1.9000000000000001E-4</v>
      </c>
      <c r="P45">
        <f t="shared" si="2"/>
        <v>0</v>
      </c>
      <c r="Q45">
        <f>Sheet1!$D$3</f>
        <v>7.1999999999999998E-3</v>
      </c>
      <c r="R45">
        <f t="shared" si="3"/>
        <v>0</v>
      </c>
      <c r="S45">
        <f>Sheet1!$D$4</f>
        <v>4.3E-3</v>
      </c>
      <c r="T45">
        <f t="shared" si="4"/>
        <v>0</v>
      </c>
    </row>
    <row r="46" spans="1:20" x14ac:dyDescent="0.3">
      <c r="A46" t="s">
        <v>129</v>
      </c>
      <c r="B46" t="s">
        <v>130</v>
      </c>
      <c r="C46">
        <v>5.6815315000000002</v>
      </c>
      <c r="D46">
        <v>4.0977100000000002E-2</v>
      </c>
      <c r="H46" t="s">
        <v>118</v>
      </c>
      <c r="L46">
        <f t="shared" si="0"/>
        <v>0</v>
      </c>
      <c r="M46">
        <f>Sheet1!$D$5</f>
        <v>3.6999999999999999E-4</v>
      </c>
      <c r="N46">
        <f t="shared" si="1"/>
        <v>0</v>
      </c>
      <c r="O46">
        <f>Sheet1!$D$2</f>
        <v>1.9000000000000001E-4</v>
      </c>
      <c r="P46">
        <f t="shared" si="2"/>
        <v>0</v>
      </c>
      <c r="Q46">
        <f>Sheet1!$D$3</f>
        <v>7.1999999999999998E-3</v>
      </c>
      <c r="R46">
        <f t="shared" si="3"/>
        <v>0</v>
      </c>
      <c r="S46">
        <f>Sheet1!$D$4</f>
        <v>4.3E-3</v>
      </c>
      <c r="T46">
        <f t="shared" si="4"/>
        <v>0</v>
      </c>
    </row>
    <row r="47" spans="1:20" x14ac:dyDescent="0.3">
      <c r="A47" t="s">
        <v>131</v>
      </c>
      <c r="B47" t="s">
        <v>132</v>
      </c>
      <c r="C47">
        <v>4.9742907000000001</v>
      </c>
      <c r="D47">
        <v>-1.6595719</v>
      </c>
      <c r="H47" t="s">
        <v>118</v>
      </c>
      <c r="L47">
        <f t="shared" si="0"/>
        <v>0</v>
      </c>
      <c r="M47">
        <f>Sheet1!$D$5</f>
        <v>3.6999999999999999E-4</v>
      </c>
      <c r="N47">
        <f t="shared" si="1"/>
        <v>0</v>
      </c>
      <c r="O47">
        <f>Sheet1!$D$2</f>
        <v>1.9000000000000001E-4</v>
      </c>
      <c r="P47">
        <f t="shared" si="2"/>
        <v>0</v>
      </c>
      <c r="Q47">
        <f>Sheet1!$D$3</f>
        <v>7.1999999999999998E-3</v>
      </c>
      <c r="R47">
        <f t="shared" si="3"/>
        <v>0</v>
      </c>
      <c r="S47">
        <f>Sheet1!$D$4</f>
        <v>4.3E-3</v>
      </c>
      <c r="T47">
        <f t="shared" si="4"/>
        <v>0</v>
      </c>
    </row>
    <row r="48" spans="1:20" x14ac:dyDescent="0.3">
      <c r="A48" t="s">
        <v>133</v>
      </c>
      <c r="B48" t="s">
        <v>134</v>
      </c>
      <c r="C48">
        <v>10.880055499999999</v>
      </c>
      <c r="D48">
        <v>-1.1025221999999999</v>
      </c>
      <c r="H48" t="s">
        <v>118</v>
      </c>
      <c r="L48">
        <f t="shared" si="0"/>
        <v>0</v>
      </c>
      <c r="M48">
        <f>Sheet1!$D$5</f>
        <v>3.6999999999999999E-4</v>
      </c>
      <c r="N48">
        <f t="shared" si="1"/>
        <v>0</v>
      </c>
      <c r="O48">
        <f>Sheet1!$D$2</f>
        <v>1.9000000000000001E-4</v>
      </c>
      <c r="P48">
        <f t="shared" si="2"/>
        <v>0</v>
      </c>
      <c r="Q48">
        <f>Sheet1!$D$3</f>
        <v>7.1999999999999998E-3</v>
      </c>
      <c r="R48">
        <f t="shared" si="3"/>
        <v>0</v>
      </c>
      <c r="S48">
        <f>Sheet1!$D$4</f>
        <v>4.3E-3</v>
      </c>
      <c r="T48">
        <f t="shared" si="4"/>
        <v>0</v>
      </c>
    </row>
    <row r="49" spans="1:21" x14ac:dyDescent="0.3">
      <c r="A49" t="s">
        <v>135</v>
      </c>
      <c r="B49" t="s">
        <v>136</v>
      </c>
      <c r="C49">
        <v>5.6980491000000004</v>
      </c>
      <c r="D49">
        <v>2.2923900000000001E-2</v>
      </c>
      <c r="H49" t="s">
        <v>118</v>
      </c>
      <c r="L49">
        <f t="shared" si="0"/>
        <v>0</v>
      </c>
      <c r="M49">
        <f>Sheet1!$D$5</f>
        <v>3.6999999999999999E-4</v>
      </c>
      <c r="N49">
        <f t="shared" si="1"/>
        <v>0</v>
      </c>
      <c r="O49">
        <f>Sheet1!$D$2</f>
        <v>1.9000000000000001E-4</v>
      </c>
      <c r="P49">
        <f t="shared" si="2"/>
        <v>0</v>
      </c>
      <c r="Q49">
        <f>Sheet1!$D$3</f>
        <v>7.1999999999999998E-3</v>
      </c>
      <c r="R49">
        <f t="shared" si="3"/>
        <v>0</v>
      </c>
      <c r="S49">
        <f>Sheet1!$D$4</f>
        <v>4.3E-3</v>
      </c>
      <c r="T49">
        <f t="shared" si="4"/>
        <v>0</v>
      </c>
    </row>
    <row r="50" spans="1:21" x14ac:dyDescent="0.3">
      <c r="A50" t="s">
        <v>137</v>
      </c>
      <c r="B50" t="s">
        <v>138</v>
      </c>
      <c r="C50">
        <v>5.6942000999999998</v>
      </c>
      <c r="D50">
        <v>2.49885E-2</v>
      </c>
      <c r="H50" t="s">
        <v>118</v>
      </c>
      <c r="L50">
        <f t="shared" si="0"/>
        <v>0</v>
      </c>
      <c r="M50">
        <f>Sheet1!$D$5</f>
        <v>3.6999999999999999E-4</v>
      </c>
      <c r="N50">
        <f t="shared" si="1"/>
        <v>0</v>
      </c>
      <c r="O50">
        <f>Sheet1!$D$2</f>
        <v>1.9000000000000001E-4</v>
      </c>
      <c r="P50">
        <f t="shared" si="2"/>
        <v>0</v>
      </c>
      <c r="Q50">
        <f>Sheet1!$D$3</f>
        <v>7.1999999999999998E-3</v>
      </c>
      <c r="R50">
        <f t="shared" si="3"/>
        <v>0</v>
      </c>
      <c r="S50">
        <f>Sheet1!$D$4</f>
        <v>4.3E-3</v>
      </c>
      <c r="T50">
        <f t="shared" si="4"/>
        <v>0</v>
      </c>
    </row>
    <row r="51" spans="1:21" x14ac:dyDescent="0.3">
      <c r="A51" t="s">
        <v>139</v>
      </c>
      <c r="B51" t="s">
        <v>140</v>
      </c>
      <c r="C51">
        <v>5.6482659000000002</v>
      </c>
      <c r="D51">
        <v>1.92137E-2</v>
      </c>
      <c r="H51" t="s">
        <v>118</v>
      </c>
      <c r="L51">
        <f t="shared" si="0"/>
        <v>0</v>
      </c>
      <c r="M51">
        <f>Sheet1!$D$5</f>
        <v>3.6999999999999999E-4</v>
      </c>
      <c r="N51">
        <f t="shared" si="1"/>
        <v>0</v>
      </c>
      <c r="O51">
        <f>Sheet1!$D$2</f>
        <v>1.9000000000000001E-4</v>
      </c>
      <c r="P51">
        <f t="shared" si="2"/>
        <v>0</v>
      </c>
      <c r="Q51">
        <f>Sheet1!$D$3</f>
        <v>7.1999999999999998E-3</v>
      </c>
      <c r="R51">
        <f t="shared" si="3"/>
        <v>0</v>
      </c>
      <c r="S51">
        <f>Sheet1!$D$4</f>
        <v>4.3E-3</v>
      </c>
      <c r="T51">
        <f t="shared" si="4"/>
        <v>0</v>
      </c>
    </row>
    <row r="52" spans="1:21" x14ac:dyDescent="0.3">
      <c r="A52" t="s">
        <v>141</v>
      </c>
      <c r="B52" t="s">
        <v>142</v>
      </c>
      <c r="C52">
        <v>5.6126157000000001</v>
      </c>
      <c r="D52">
        <v>-0.1808765</v>
      </c>
      <c r="H52" t="s">
        <v>118</v>
      </c>
      <c r="L52">
        <f t="shared" si="0"/>
        <v>0</v>
      </c>
      <c r="M52">
        <f>Sheet1!$D$5</f>
        <v>3.6999999999999999E-4</v>
      </c>
      <c r="N52">
        <f t="shared" si="1"/>
        <v>0</v>
      </c>
      <c r="O52">
        <f>Sheet1!$D$2</f>
        <v>1.9000000000000001E-4</v>
      </c>
      <c r="P52">
        <f t="shared" si="2"/>
        <v>0</v>
      </c>
      <c r="Q52">
        <f>Sheet1!$D$3</f>
        <v>7.1999999999999998E-3</v>
      </c>
      <c r="R52">
        <f t="shared" si="3"/>
        <v>0</v>
      </c>
      <c r="S52">
        <f>Sheet1!$D$4</f>
        <v>4.3E-3</v>
      </c>
      <c r="T52">
        <f t="shared" si="4"/>
        <v>0</v>
      </c>
    </row>
    <row r="53" spans="1:21" x14ac:dyDescent="0.3">
      <c r="A53" t="s">
        <v>143</v>
      </c>
      <c r="B53" t="s">
        <v>144</v>
      </c>
      <c r="C53">
        <v>5.6773749000000002</v>
      </c>
      <c r="D53">
        <v>1.84963E-2</v>
      </c>
      <c r="H53" t="s">
        <v>118</v>
      </c>
      <c r="L53">
        <f t="shared" si="0"/>
        <v>0</v>
      </c>
      <c r="M53">
        <f>Sheet1!$D$5</f>
        <v>3.6999999999999999E-4</v>
      </c>
      <c r="N53">
        <f t="shared" si="1"/>
        <v>0</v>
      </c>
      <c r="O53">
        <f>Sheet1!$D$2</f>
        <v>1.9000000000000001E-4</v>
      </c>
      <c r="P53">
        <f t="shared" si="2"/>
        <v>0</v>
      </c>
      <c r="Q53">
        <f>Sheet1!$D$3</f>
        <v>7.1999999999999998E-3</v>
      </c>
      <c r="R53">
        <f t="shared" si="3"/>
        <v>0</v>
      </c>
      <c r="S53">
        <f>Sheet1!$D$4</f>
        <v>4.3E-3</v>
      </c>
      <c r="T53">
        <f t="shared" si="4"/>
        <v>0</v>
      </c>
    </row>
    <row r="54" spans="1:21" x14ac:dyDescent="0.3">
      <c r="A54" t="s">
        <v>145</v>
      </c>
      <c r="B54" t="s">
        <v>146</v>
      </c>
      <c r="C54">
        <v>5.3460915</v>
      </c>
      <c r="D54">
        <v>-0.70340519999999995</v>
      </c>
      <c r="H54" t="s">
        <v>118</v>
      </c>
      <c r="L54">
        <f t="shared" si="0"/>
        <v>0</v>
      </c>
      <c r="M54">
        <f>Sheet1!$D$5</f>
        <v>3.6999999999999999E-4</v>
      </c>
      <c r="N54">
        <f t="shared" si="1"/>
        <v>0</v>
      </c>
      <c r="O54">
        <f>Sheet1!$D$2</f>
        <v>1.9000000000000001E-4</v>
      </c>
      <c r="P54">
        <f t="shared" si="2"/>
        <v>0</v>
      </c>
      <c r="Q54">
        <f>Sheet1!$D$3</f>
        <v>7.1999999999999998E-3</v>
      </c>
      <c r="R54">
        <f t="shared" si="3"/>
        <v>0</v>
      </c>
      <c r="S54">
        <f>Sheet1!$D$4</f>
        <v>4.3E-3</v>
      </c>
      <c r="T54">
        <f t="shared" si="4"/>
        <v>0</v>
      </c>
    </row>
    <row r="55" spans="1:21" x14ac:dyDescent="0.3">
      <c r="A55" t="s">
        <v>147</v>
      </c>
      <c r="B55" t="s">
        <v>148</v>
      </c>
      <c r="C55">
        <v>5.0462464999999996</v>
      </c>
      <c r="D55">
        <v>-2.4376758999999999</v>
      </c>
      <c r="H55" t="s">
        <v>118</v>
      </c>
      <c r="L55">
        <f t="shared" si="0"/>
        <v>0</v>
      </c>
      <c r="M55">
        <f>Sheet1!$D$5</f>
        <v>3.6999999999999999E-4</v>
      </c>
      <c r="N55">
        <f t="shared" si="1"/>
        <v>0</v>
      </c>
      <c r="O55">
        <f>Sheet1!$D$2</f>
        <v>1.9000000000000001E-4</v>
      </c>
      <c r="P55">
        <f t="shared" si="2"/>
        <v>0</v>
      </c>
      <c r="Q55">
        <f>Sheet1!$D$3</f>
        <v>7.1999999999999998E-3</v>
      </c>
      <c r="R55">
        <f t="shared" si="3"/>
        <v>0</v>
      </c>
      <c r="S55">
        <f>Sheet1!$D$4</f>
        <v>4.3E-3</v>
      </c>
      <c r="T55">
        <f t="shared" si="4"/>
        <v>0</v>
      </c>
    </row>
    <row r="56" spans="1:21" x14ac:dyDescent="0.3">
      <c r="A56" t="s">
        <v>149</v>
      </c>
      <c r="B56" t="s">
        <v>150</v>
      </c>
      <c r="C56">
        <v>14.796229</v>
      </c>
      <c r="D56">
        <v>-17.039687000000001</v>
      </c>
      <c r="F56" t="s">
        <v>69</v>
      </c>
      <c r="G56" t="s">
        <v>151</v>
      </c>
      <c r="H56" t="s">
        <v>152</v>
      </c>
      <c r="I56" t="s">
        <v>26</v>
      </c>
      <c r="J56">
        <v>30</v>
      </c>
      <c r="L56">
        <f t="shared" si="0"/>
        <v>0</v>
      </c>
      <c r="M56">
        <f>Sheet1!$D$5</f>
        <v>3.6999999999999999E-4</v>
      </c>
      <c r="N56">
        <f t="shared" si="1"/>
        <v>0</v>
      </c>
      <c r="O56">
        <f>Sheet1!$D$2</f>
        <v>1.9000000000000001E-4</v>
      </c>
      <c r="P56">
        <f t="shared" si="2"/>
        <v>0</v>
      </c>
      <c r="Q56">
        <f>Sheet1!$D$3</f>
        <v>7.1999999999999998E-3</v>
      </c>
      <c r="R56">
        <f t="shared" si="3"/>
        <v>0</v>
      </c>
      <c r="S56">
        <f>Sheet1!$D$4</f>
        <v>4.3E-3</v>
      </c>
      <c r="T56">
        <f t="shared" si="4"/>
        <v>0</v>
      </c>
      <c r="U56" t="s">
        <v>27</v>
      </c>
    </row>
    <row r="57" spans="1:21" x14ac:dyDescent="0.3">
      <c r="A57" t="s">
        <v>153</v>
      </c>
      <c r="B57" t="s">
        <v>154</v>
      </c>
      <c r="C57">
        <v>14.686987999999999</v>
      </c>
      <c r="D57">
        <v>-17.213926000000001</v>
      </c>
      <c r="F57" t="s">
        <v>69</v>
      </c>
      <c r="G57" t="s">
        <v>151</v>
      </c>
      <c r="H57" t="s">
        <v>152</v>
      </c>
      <c r="I57" t="s">
        <v>26</v>
      </c>
      <c r="J57">
        <v>125</v>
      </c>
      <c r="L57">
        <f t="shared" si="0"/>
        <v>0</v>
      </c>
      <c r="M57">
        <f>Sheet1!$D$5</f>
        <v>3.6999999999999999E-4</v>
      </c>
      <c r="N57">
        <f t="shared" si="1"/>
        <v>0</v>
      </c>
      <c r="O57">
        <f>Sheet1!$D$2</f>
        <v>1.9000000000000001E-4</v>
      </c>
      <c r="P57">
        <f t="shared" si="2"/>
        <v>0</v>
      </c>
      <c r="Q57">
        <f>Sheet1!$D$3</f>
        <v>7.1999999999999998E-3</v>
      </c>
      <c r="R57">
        <f t="shared" si="3"/>
        <v>0</v>
      </c>
      <c r="S57">
        <f>Sheet1!$D$4</f>
        <v>4.3E-3</v>
      </c>
      <c r="T57">
        <f t="shared" si="4"/>
        <v>0</v>
      </c>
      <c r="U5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A3C7-20B5-4010-9AB0-E4C2920C77FD}">
  <dimension ref="A1:E11"/>
  <sheetViews>
    <sheetView topLeftCell="B1" workbookViewId="0">
      <selection activeCell="D5" sqref="D5"/>
    </sheetView>
  </sheetViews>
  <sheetFormatPr defaultColWidth="11.44140625" defaultRowHeight="14.4" x14ac:dyDescent="0.3"/>
  <cols>
    <col min="1" max="1" width="15.109375" customWidth="1"/>
    <col min="2" max="2" width="30.77734375" customWidth="1"/>
    <col min="3" max="3" width="29.33203125" customWidth="1"/>
    <col min="4" max="4" width="45.6640625" bestFit="1" customWidth="1"/>
    <col min="5" max="5" width="88" bestFit="1" customWidth="1"/>
  </cols>
  <sheetData>
    <row r="1" spans="1:5" x14ac:dyDescent="0.3">
      <c r="A1" s="1" t="s">
        <v>155</v>
      </c>
      <c r="B1" s="1" t="s">
        <v>156</v>
      </c>
      <c r="C1" s="1" t="s">
        <v>157</v>
      </c>
      <c r="D1" s="1" t="s">
        <v>158</v>
      </c>
      <c r="E1" s="2" t="s">
        <v>159</v>
      </c>
    </row>
    <row r="2" spans="1:5" x14ac:dyDescent="0.3">
      <c r="A2" s="1" t="s">
        <v>160</v>
      </c>
      <c r="B2" s="1">
        <v>0.19</v>
      </c>
      <c r="C2" s="1" t="s">
        <v>161</v>
      </c>
      <c r="D2" s="1">
        <f>B2/1000</f>
        <v>1.9000000000000001E-4</v>
      </c>
      <c r="E2" s="2" t="s">
        <v>162</v>
      </c>
    </row>
    <row r="3" spans="1:5" x14ac:dyDescent="0.3">
      <c r="A3" s="1" t="s">
        <v>163</v>
      </c>
      <c r="B3" s="1">
        <v>7.2</v>
      </c>
      <c r="C3" s="1" t="s">
        <v>161</v>
      </c>
      <c r="D3" s="1">
        <f t="shared" ref="D3:D5" si="0">B3/1000</f>
        <v>7.1999999999999998E-3</v>
      </c>
      <c r="E3" s="2"/>
    </row>
    <row r="4" spans="1:5" x14ac:dyDescent="0.3">
      <c r="A4" s="1" t="s">
        <v>164</v>
      </c>
      <c r="B4" s="1">
        <v>4.3</v>
      </c>
      <c r="C4" s="1" t="s">
        <v>161</v>
      </c>
      <c r="D4" s="1">
        <f t="shared" si="0"/>
        <v>4.3E-3</v>
      </c>
      <c r="E4" s="2" t="s">
        <v>165</v>
      </c>
    </row>
    <row r="5" spans="1:5" x14ac:dyDescent="0.3">
      <c r="A5" s="1" t="s">
        <v>166</v>
      </c>
      <c r="B5" s="1">
        <f>AVERAGE(0.29,0.45)</f>
        <v>0.37</v>
      </c>
      <c r="C5" s="1" t="s">
        <v>161</v>
      </c>
      <c r="D5" s="1">
        <f t="shared" si="0"/>
        <v>3.6999999999999999E-4</v>
      </c>
      <c r="E5" s="2" t="s">
        <v>167</v>
      </c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ht="39.6" x14ac:dyDescent="0.3">
      <c r="A10" s="3" t="s">
        <v>168</v>
      </c>
      <c r="B10" s="4" t="s">
        <v>169</v>
      </c>
      <c r="C10" s="5" t="s">
        <v>170</v>
      </c>
      <c r="D10" s="2"/>
      <c r="E10" s="2"/>
    </row>
    <row r="11" spans="1:5" ht="39.6" x14ac:dyDescent="0.3">
      <c r="B11" s="4" t="s">
        <v>171</v>
      </c>
    </row>
  </sheetData>
  <hyperlinks>
    <hyperlink ref="C10" r:id="rId1" xr:uid="{1DFE28ED-43F3-48BD-8273-55DED26A51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africa_coal_plants_main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Zakir Khizer</cp:lastModifiedBy>
  <dcterms:created xsi:type="dcterms:W3CDTF">2025-12-09T10:29:43Z</dcterms:created>
  <dcterms:modified xsi:type="dcterms:W3CDTF">2025-12-09T10:37:25Z</dcterms:modified>
</cp:coreProperties>
</file>