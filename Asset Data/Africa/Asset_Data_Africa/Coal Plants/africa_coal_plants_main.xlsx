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Asset Data\Africa\Asset_Data_Africa\Coal Plants\"/>
    </mc:Choice>
  </mc:AlternateContent>
  <xr:revisionPtr revIDLastSave="0" documentId="13_ncr:1_{0E11C797-25C2-4FD9-988B-5916F4115D94}" xr6:coauthVersionLast="47" xr6:coauthVersionMax="47" xr10:uidLastSave="{00000000-0000-0000-0000-000000000000}"/>
  <bookViews>
    <workbookView xWindow="-108" yWindow="-108" windowWidth="23256" windowHeight="12456" xr2:uid="{BD77A84E-9835-4E0A-8AB6-9773CE508B26}"/>
  </bookViews>
  <sheets>
    <sheet name="africa_coal_plants_mai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6" i="1"/>
  <c r="S7" i="1"/>
  <c r="S8" i="1"/>
  <c r="S9" i="1"/>
  <c r="S10" i="1"/>
  <c r="S14" i="1"/>
  <c r="S19" i="1"/>
  <c r="S20" i="1"/>
  <c r="S21" i="1"/>
  <c r="S27" i="1"/>
  <c r="S28" i="1"/>
  <c r="S29" i="1"/>
  <c r="S2" i="1"/>
  <c r="Q6" i="1"/>
  <c r="Q7" i="1"/>
  <c r="Q8" i="1"/>
  <c r="Q9" i="1"/>
  <c r="Q10" i="1"/>
  <c r="Q19" i="1"/>
  <c r="Q20" i="1"/>
  <c r="Q21" i="1"/>
  <c r="Q28" i="1"/>
  <c r="Q29" i="1"/>
  <c r="Q2" i="1"/>
  <c r="O7" i="1"/>
  <c r="O8" i="1"/>
  <c r="O9" i="1"/>
  <c r="O10" i="1"/>
  <c r="O19" i="1"/>
  <c r="O20" i="1"/>
  <c r="O21" i="1"/>
  <c r="O28" i="1"/>
  <c r="O29" i="1"/>
  <c r="O2" i="1"/>
  <c r="M9" i="1"/>
  <c r="M10" i="1"/>
  <c r="M20" i="1"/>
  <c r="M21" i="1"/>
  <c r="M29" i="1"/>
  <c r="M2" i="1"/>
  <c r="L3" i="1"/>
  <c r="L4" i="1"/>
  <c r="L5" i="1"/>
  <c r="L6" i="1"/>
  <c r="T6" i="1" s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2" i="1"/>
  <c r="B5" i="2"/>
  <c r="D5" i="2" s="1"/>
  <c r="D4" i="2"/>
  <c r="D3" i="2"/>
  <c r="D2" i="2"/>
  <c r="T10" i="1" l="1"/>
  <c r="N2" i="1"/>
  <c r="T7" i="1"/>
  <c r="T8" i="1"/>
  <c r="T28" i="1"/>
  <c r="T27" i="1"/>
  <c r="T5" i="1"/>
  <c r="T21" i="1"/>
  <c r="T20" i="1"/>
  <c r="N9" i="1"/>
  <c r="T19" i="1"/>
  <c r="P29" i="1"/>
  <c r="T14" i="1"/>
  <c r="M13" i="1"/>
  <c r="N13" i="1" s="1"/>
  <c r="O13" i="1"/>
  <c r="P13" i="1" s="1"/>
  <c r="O3" i="1"/>
  <c r="P3" i="1" s="1"/>
  <c r="Q3" i="1"/>
  <c r="R3" i="1" s="1"/>
  <c r="S18" i="1"/>
  <c r="T18" i="1" s="1"/>
  <c r="S13" i="1"/>
  <c r="T13" i="1" s="1"/>
  <c r="S3" i="1"/>
  <c r="T3" i="1" s="1"/>
  <c r="M27" i="1"/>
  <c r="N27" i="1" s="1"/>
  <c r="M14" i="1"/>
  <c r="N14" i="1" s="1"/>
  <c r="M5" i="1"/>
  <c r="N5" i="1" s="1"/>
  <c r="O27" i="1"/>
  <c r="P27" i="1" s="1"/>
  <c r="O14" i="1"/>
  <c r="P14" i="1" s="1"/>
  <c r="O5" i="1"/>
  <c r="P5" i="1" s="1"/>
  <c r="Q27" i="1"/>
  <c r="R27" i="1" s="1"/>
  <c r="Q14" i="1"/>
  <c r="R14" i="1" s="1"/>
  <c r="Q5" i="1"/>
  <c r="R5" i="1" s="1"/>
  <c r="S4" i="1"/>
  <c r="T4" i="1" s="1"/>
  <c r="M17" i="1"/>
  <c r="N17" i="1" s="1"/>
  <c r="M12" i="1"/>
  <c r="N12" i="1" s="1"/>
  <c r="N21" i="1"/>
  <c r="N10" i="1"/>
  <c r="O12" i="1"/>
  <c r="P12" i="1" s="1"/>
  <c r="P2" i="1"/>
  <c r="P21" i="1"/>
  <c r="P10" i="1"/>
  <c r="Q17" i="1"/>
  <c r="R17" i="1" s="1"/>
  <c r="Q12" i="1"/>
  <c r="R12" i="1" s="1"/>
  <c r="R2" i="1"/>
  <c r="R21" i="1"/>
  <c r="R10" i="1"/>
  <c r="S17" i="1"/>
  <c r="T17" i="1" s="1"/>
  <c r="S12" i="1"/>
  <c r="T12" i="1" s="1"/>
  <c r="T2" i="1"/>
  <c r="M28" i="1"/>
  <c r="N28" i="1" s="1"/>
  <c r="O6" i="1"/>
  <c r="P6" i="1" s="1"/>
  <c r="M4" i="1"/>
  <c r="N4" i="1" s="1"/>
  <c r="Q4" i="1"/>
  <c r="R4" i="1" s="1"/>
  <c r="M26" i="1"/>
  <c r="N26" i="1" s="1"/>
  <c r="M16" i="1"/>
  <c r="N16" i="1" s="1"/>
  <c r="N29" i="1"/>
  <c r="N20" i="1"/>
  <c r="O26" i="1"/>
  <c r="P26" i="1" s="1"/>
  <c r="O16" i="1"/>
  <c r="P16" i="1" s="1"/>
  <c r="P20" i="1"/>
  <c r="P9" i="1"/>
  <c r="Q26" i="1"/>
  <c r="R26" i="1" s="1"/>
  <c r="R29" i="1"/>
  <c r="R20" i="1"/>
  <c r="R9" i="1"/>
  <c r="S26" i="1"/>
  <c r="T26" i="1" s="1"/>
  <c r="S16" i="1"/>
  <c r="T16" i="1" s="1"/>
  <c r="T29" i="1"/>
  <c r="T9" i="1"/>
  <c r="M19" i="1"/>
  <c r="N19" i="1" s="1"/>
  <c r="M7" i="1"/>
  <c r="N7" i="1" s="1"/>
  <c r="O4" i="1"/>
  <c r="P4" i="1" s="1"/>
  <c r="Q13" i="1"/>
  <c r="R13" i="1" s="1"/>
  <c r="O17" i="1"/>
  <c r="P17" i="1" s="1"/>
  <c r="Q16" i="1"/>
  <c r="R16" i="1" s="1"/>
  <c r="M15" i="1"/>
  <c r="N15" i="1" s="1"/>
  <c r="O15" i="1"/>
  <c r="P15" i="1" s="1"/>
  <c r="P28" i="1"/>
  <c r="P19" i="1"/>
  <c r="P8" i="1"/>
  <c r="Q15" i="1"/>
  <c r="R15" i="1" s="1"/>
  <c r="R28" i="1"/>
  <c r="R19" i="1"/>
  <c r="R8" i="1"/>
  <c r="S15" i="1"/>
  <c r="T15" i="1" s="1"/>
  <c r="M25" i="1"/>
  <c r="N25" i="1" s="1"/>
  <c r="M11" i="1"/>
  <c r="N11" i="1" s="1"/>
  <c r="O25" i="1"/>
  <c r="P25" i="1" s="1"/>
  <c r="O11" i="1"/>
  <c r="P11" i="1" s="1"/>
  <c r="P7" i="1"/>
  <c r="Q25" i="1"/>
  <c r="R25" i="1" s="1"/>
  <c r="Q11" i="1"/>
  <c r="R11" i="1" s="1"/>
  <c r="R7" i="1"/>
  <c r="S25" i="1"/>
  <c r="T25" i="1" s="1"/>
  <c r="S11" i="1"/>
  <c r="T11" i="1" s="1"/>
  <c r="M8" i="1"/>
  <c r="N8" i="1" s="1"/>
  <c r="M6" i="1"/>
  <c r="N6" i="1" s="1"/>
  <c r="M18" i="1"/>
  <c r="N18" i="1" s="1"/>
  <c r="O18" i="1"/>
  <c r="P18" i="1" s="1"/>
  <c r="Q18" i="1"/>
  <c r="R18" i="1" s="1"/>
  <c r="M24" i="1"/>
  <c r="N24" i="1" s="1"/>
  <c r="O24" i="1"/>
  <c r="P24" i="1" s="1"/>
  <c r="Q24" i="1"/>
  <c r="R24" i="1" s="1"/>
  <c r="R6" i="1"/>
  <c r="S24" i="1"/>
  <c r="T24" i="1" s="1"/>
  <c r="M23" i="1"/>
  <c r="N23" i="1" s="1"/>
  <c r="O23" i="1"/>
  <c r="P23" i="1" s="1"/>
  <c r="Q23" i="1"/>
  <c r="R23" i="1" s="1"/>
  <c r="S23" i="1"/>
  <c r="T23" i="1" s="1"/>
  <c r="M3" i="1"/>
  <c r="N3" i="1" s="1"/>
  <c r="M22" i="1"/>
  <c r="N22" i="1" s="1"/>
  <c r="O22" i="1"/>
  <c r="P22" i="1" s="1"/>
  <c r="Q22" i="1"/>
  <c r="R22" i="1" s="1"/>
  <c r="S22" i="1"/>
  <c r="T22" i="1" s="1"/>
</calcChain>
</file>

<file path=xl/sharedStrings.xml><?xml version="1.0" encoding="utf-8"?>
<sst xmlns="http://schemas.openxmlformats.org/spreadsheetml/2006/main" count="162" uniqueCount="116">
  <si>
    <t>id</t>
  </si>
  <si>
    <t>name</t>
  </si>
  <si>
    <t>lat</t>
  </si>
  <si>
    <t>lon</t>
  </si>
  <si>
    <t>type</t>
  </si>
  <si>
    <t xml:space="preserve"> fuel</t>
  </si>
  <si>
    <t>region</t>
  </si>
  <si>
    <t>country</t>
  </si>
  <si>
    <t>status</t>
  </si>
  <si>
    <t>capacities</t>
  </si>
  <si>
    <t>capacity_power</t>
  </si>
  <si>
    <t>prod_kw</t>
  </si>
  <si>
    <t>emfpm10</t>
  </si>
  <si>
    <t xml:space="preserve"> pm10_t_yr</t>
  </si>
  <si>
    <t>emfpm25</t>
  </si>
  <si>
    <t>pm25_t_yr</t>
  </si>
  <si>
    <t>emfso2</t>
  </si>
  <si>
    <t>so2_t_yr</t>
  </si>
  <si>
    <t>emfnox</t>
  </si>
  <si>
    <t>nox_t_yr</t>
  </si>
  <si>
    <t>source</t>
  </si>
  <si>
    <t>CN-1</t>
  </si>
  <si>
    <t>Gboko Cement power station</t>
  </si>
  <si>
    <t>coal</t>
  </si>
  <si>
    <t>Benue</t>
  </si>
  <si>
    <t>Nigeria</t>
  </si>
  <si>
    <t>operating</t>
  </si>
  <si>
    <t>GEM</t>
  </si>
  <si>
    <t>CN-2</t>
  </si>
  <si>
    <t>Ibese Cement power station</t>
  </si>
  <si>
    <t>Ogun</t>
  </si>
  <si>
    <t>37,37,37</t>
  </si>
  <si>
    <t>CN-3</t>
  </si>
  <si>
    <t>Okpella Cement power station</t>
  </si>
  <si>
    <t>Edo</t>
  </si>
  <si>
    <t>30,30</t>
  </si>
  <si>
    <t>CN-4</t>
  </si>
  <si>
    <t>Obajana Cement power station</t>
  </si>
  <si>
    <t>Kogi</t>
  </si>
  <si>
    <t>45,45,45</t>
  </si>
  <si>
    <t>CN-5</t>
  </si>
  <si>
    <t>Ugboba power station</t>
  </si>
  <si>
    <t>lignite</t>
  </si>
  <si>
    <t>Delta</t>
  </si>
  <si>
    <t>permitted</t>
  </si>
  <si>
    <t>CN-6</t>
  </si>
  <si>
    <t>Egbin Thermal Power Station</t>
  </si>
  <si>
    <t>CN-7</t>
  </si>
  <si>
    <t>NIPP Gbarain-Ubie Power Station</t>
  </si>
  <si>
    <t>CN-8</t>
  </si>
  <si>
    <t>Azura Edo IPP</t>
  </si>
  <si>
    <t>CN-9</t>
  </si>
  <si>
    <t>Egbema Power Plant Umuezi Mmahu</t>
  </si>
  <si>
    <t>CN-14</t>
  </si>
  <si>
    <t>Shiroro Power Station</t>
  </si>
  <si>
    <t>CN-17</t>
  </si>
  <si>
    <t>Resident Cement Gwana power station</t>
  </si>
  <si>
    <t>unknown</t>
  </si>
  <si>
    <t>Bauchi</t>
  </si>
  <si>
    <t>announced</t>
  </si>
  <si>
    <t>CN-18</t>
  </si>
  <si>
    <t>DANGOTE BENUE CEMENT</t>
  </si>
  <si>
    <t>Climate Trace</t>
  </si>
  <si>
    <t>Uganda</t>
  </si>
  <si>
    <t>CU-2</t>
  </si>
  <si>
    <t>Mpanga Power Station</t>
  </si>
  <si>
    <t>CU-13</t>
  </si>
  <si>
    <t>Osukuru Thermal Power Station</t>
  </si>
  <si>
    <t>CU-14</t>
  </si>
  <si>
    <t>Tororo Thermal Power Station</t>
  </si>
  <si>
    <t>CU-15</t>
  </si>
  <si>
    <t>Kiira Power Station</t>
  </si>
  <si>
    <t>CU-16</t>
  </si>
  <si>
    <t>Lugazi Thermal Power Station</t>
  </si>
  <si>
    <t>CG-1</t>
  </si>
  <si>
    <t>Sunon-Asogli Power Limited</t>
  </si>
  <si>
    <t>Ghana</t>
  </si>
  <si>
    <t>CG-2</t>
  </si>
  <si>
    <t>Kpone Thermal Power Station</t>
  </si>
  <si>
    <t>CG-3</t>
  </si>
  <si>
    <t>Tema Thermal 1 Power Plant (TT1PP)</t>
  </si>
  <si>
    <t>CG-4</t>
  </si>
  <si>
    <t>Amandi Energy power plant</t>
  </si>
  <si>
    <t>CG-5</t>
  </si>
  <si>
    <t>Cenpower Generation Company Limited</t>
  </si>
  <si>
    <t>CG-7</t>
  </si>
  <si>
    <t>Kpone Independent Power Plant</t>
  </si>
  <si>
    <t>CG-8</t>
  </si>
  <si>
    <t>Ameri Power Plant</t>
  </si>
  <si>
    <t>CG-10</t>
  </si>
  <si>
    <t>GPGC Power Plant</t>
  </si>
  <si>
    <t>CG-14</t>
  </si>
  <si>
    <t>Bridge Power Project</t>
  </si>
  <si>
    <t>CS-1</t>
  </si>
  <si>
    <t>Gallen Cement power station</t>
  </si>
  <si>
    <t>Dakar</t>
  </si>
  <si>
    <t>Senegal</t>
  </si>
  <si>
    <t>CS-2</t>
  </si>
  <si>
    <t>Sendou power station</t>
  </si>
  <si>
    <t>Pollutant</t>
  </si>
  <si>
    <t>EF</t>
  </si>
  <si>
    <t>Unit</t>
  </si>
  <si>
    <t>EF normalised (tonnes of pollutant/tonnes of production)</t>
  </si>
  <si>
    <t>Notes</t>
  </si>
  <si>
    <t>PM2.5</t>
  </si>
  <si>
    <t xml:space="preserve"> tonne/000 tonnes</t>
  </si>
  <si>
    <t>Averaged from a range =  0.16-0.22</t>
  </si>
  <si>
    <t>SO2</t>
  </si>
  <si>
    <t>NOx</t>
  </si>
  <si>
    <t>Averaged from a range =  4.22 - 4.38</t>
  </si>
  <si>
    <t>PM10</t>
  </si>
  <si>
    <t>Averaged from a range =  0.29-0.45</t>
  </si>
  <si>
    <t>Source</t>
  </si>
  <si>
    <t>India Air Quality - Coal Power Plants Emissions - reference for PM2.5 and PM10</t>
  </si>
  <si>
    <t xml:space="preserve">https://www.indiaairquality.info/wp-content/uploads/docs/2014-08-AE-Emissions-Health-Coal-PPs-India.pdf </t>
  </si>
  <si>
    <t>US EPA - Emissions Inventory Conference - Reference for So2 and 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</si>
</sst>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">
    <xf numFmtId="0" fontId="0" fillId="0" borderId="0" xfId="0"/>
    <xf numFmtId="0" fontId="19" fillId="0" borderId="0" xfId="0" applyFon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top" wrapText="1"/>
    </xf>
    <xf numFmtId="0" fontId="18" fillId="0" borderId="0" xfId="42"/>
    <xf numFmtId="0" fontId="0" fillId="33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6D530-2543-4A55-B9B2-B90C85DBA42D}">
  <dimension ref="A1:U29"/>
  <sheetViews>
    <sheetView tabSelected="1" workbookViewId="0">
      <selection activeCell="B35" sqref="B35"/>
    </sheetView>
  </sheetViews>
  <sheetFormatPr defaultRowHeight="14.4" x14ac:dyDescent="0.3"/>
  <cols>
    <col min="2" max="2" width="39.5546875" bestFit="1" customWidth="1"/>
    <col min="12" max="12" width="10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>
        <v>7.4109999999999996</v>
      </c>
      <c r="D2">
        <v>8.9740000000000002</v>
      </c>
      <c r="F2" t="s">
        <v>23</v>
      </c>
      <c r="G2" t="s">
        <v>24</v>
      </c>
      <c r="H2" t="s">
        <v>25</v>
      </c>
      <c r="I2" t="s">
        <v>26</v>
      </c>
      <c r="J2">
        <v>38.5</v>
      </c>
      <c r="K2">
        <v>38</v>
      </c>
      <c r="L2">
        <f>(K2*1000*24*365)</f>
        <v>332880000</v>
      </c>
      <c r="M2">
        <f>Sheet1!$D$5</f>
        <v>3.6999999999999999E-4</v>
      </c>
      <c r="N2">
        <f>((L2*M2)/1000)*0.05</f>
        <v>6.1582800000000004</v>
      </c>
      <c r="O2">
        <f>Sheet1!$D$2</f>
        <v>1.9000000000000001E-4</v>
      </c>
      <c r="P2">
        <f>((L2*O2)/1000)*0.05</f>
        <v>3.1623600000000005</v>
      </c>
      <c r="Q2">
        <f>Sheet1!$D$3</f>
        <v>7.1999999999999998E-3</v>
      </c>
      <c r="R2">
        <f>((L2*Q2)/1000)*0.05</f>
        <v>119.8368</v>
      </c>
      <c r="S2">
        <f>Sheet1!$D$4</f>
        <v>4.3E-3</v>
      </c>
      <c r="T2" s="6">
        <f>((L2*S2)/1000)*0.05</f>
        <v>71.569200000000009</v>
      </c>
      <c r="U2" t="s">
        <v>27</v>
      </c>
    </row>
    <row r="3" spans="1:21" x14ac:dyDescent="0.3">
      <c r="A3" t="s">
        <v>28</v>
      </c>
      <c r="B3" t="s">
        <v>29</v>
      </c>
      <c r="C3">
        <v>7.0039999999999996</v>
      </c>
      <c r="D3">
        <v>3.048</v>
      </c>
      <c r="F3" t="s">
        <v>23</v>
      </c>
      <c r="G3" t="s">
        <v>30</v>
      </c>
      <c r="H3" t="s">
        <v>25</v>
      </c>
      <c r="I3" t="s">
        <v>26</v>
      </c>
      <c r="J3" t="s">
        <v>31</v>
      </c>
      <c r="K3">
        <v>111</v>
      </c>
      <c r="L3">
        <f t="shared" ref="L3:L29" si="0">(K3*1000*24*365)</f>
        <v>972360000</v>
      </c>
      <c r="M3">
        <f>Sheet1!$D$5</f>
        <v>3.6999999999999999E-4</v>
      </c>
      <c r="N3">
        <f t="shared" ref="N3:N29" si="1">((L3*M3)/1000)*0.05</f>
        <v>17.988660000000003</v>
      </c>
      <c r="O3">
        <f>Sheet1!$D$2</f>
        <v>1.9000000000000001E-4</v>
      </c>
      <c r="P3">
        <f t="shared" ref="P3:P29" si="2">((L3*O3)/1000)*0.05</f>
        <v>9.237420000000002</v>
      </c>
      <c r="Q3">
        <f>Sheet1!$D$3</f>
        <v>7.1999999999999998E-3</v>
      </c>
      <c r="R3">
        <f t="shared" ref="R3:R29" si="3">((L3*Q3)/1000)*0.05</f>
        <v>350.04960000000005</v>
      </c>
      <c r="S3">
        <f>Sheet1!$D$4</f>
        <v>4.3E-3</v>
      </c>
      <c r="T3" s="6">
        <f t="shared" ref="T3:T29" si="4">((L3*S3)/1000)*0.05</f>
        <v>209.05740000000003</v>
      </c>
      <c r="U3" t="s">
        <v>27</v>
      </c>
    </row>
    <row r="4" spans="1:21" x14ac:dyDescent="0.3">
      <c r="A4" t="s">
        <v>32</v>
      </c>
      <c r="B4" t="s">
        <v>33</v>
      </c>
      <c r="C4">
        <v>7.3442170000000004</v>
      </c>
      <c r="D4">
        <v>6.4623879999999998</v>
      </c>
      <c r="F4" t="s">
        <v>23</v>
      </c>
      <c r="G4" t="s">
        <v>34</v>
      </c>
      <c r="H4" t="s">
        <v>25</v>
      </c>
      <c r="I4" t="s">
        <v>26</v>
      </c>
      <c r="J4" t="s">
        <v>35</v>
      </c>
      <c r="K4">
        <v>60</v>
      </c>
      <c r="L4">
        <f t="shared" si="0"/>
        <v>525600000</v>
      </c>
      <c r="M4">
        <f>Sheet1!$D$5</f>
        <v>3.6999999999999999E-4</v>
      </c>
      <c r="N4">
        <f t="shared" si="1"/>
        <v>9.7236000000000011</v>
      </c>
      <c r="O4">
        <f>Sheet1!$D$2</f>
        <v>1.9000000000000001E-4</v>
      </c>
      <c r="P4">
        <f t="shared" si="2"/>
        <v>4.9932000000000007</v>
      </c>
      <c r="Q4">
        <f>Sheet1!$D$3</f>
        <v>7.1999999999999998E-3</v>
      </c>
      <c r="R4">
        <f t="shared" si="3"/>
        <v>189.21600000000001</v>
      </c>
      <c r="S4">
        <f>Sheet1!$D$4</f>
        <v>4.3E-3</v>
      </c>
      <c r="T4" s="6">
        <f t="shared" si="4"/>
        <v>113.004</v>
      </c>
      <c r="U4" t="s">
        <v>27</v>
      </c>
    </row>
    <row r="5" spans="1:21" x14ac:dyDescent="0.3">
      <c r="A5" t="s">
        <v>36</v>
      </c>
      <c r="B5" t="s">
        <v>37</v>
      </c>
      <c r="C5">
        <v>7.9260000000000002</v>
      </c>
      <c r="D5">
        <v>6.423</v>
      </c>
      <c r="F5" t="s">
        <v>23</v>
      </c>
      <c r="G5" t="s">
        <v>38</v>
      </c>
      <c r="H5" t="s">
        <v>25</v>
      </c>
      <c r="I5" t="s">
        <v>26</v>
      </c>
      <c r="J5" t="s">
        <v>39</v>
      </c>
      <c r="K5">
        <v>135</v>
      </c>
      <c r="L5">
        <f t="shared" si="0"/>
        <v>1182600000</v>
      </c>
      <c r="M5">
        <f>Sheet1!$D$5</f>
        <v>3.6999999999999999E-4</v>
      </c>
      <c r="N5">
        <f t="shared" si="1"/>
        <v>21.878100000000003</v>
      </c>
      <c r="O5">
        <f>Sheet1!$D$2</f>
        <v>1.9000000000000001E-4</v>
      </c>
      <c r="P5">
        <f t="shared" si="2"/>
        <v>11.2347</v>
      </c>
      <c r="Q5">
        <f>Sheet1!$D$3</f>
        <v>7.1999999999999998E-3</v>
      </c>
      <c r="R5">
        <f t="shared" si="3"/>
        <v>425.73599999999999</v>
      </c>
      <c r="S5">
        <f>Sheet1!$D$4</f>
        <v>4.3E-3</v>
      </c>
      <c r="T5" s="6">
        <f t="shared" si="4"/>
        <v>254.25900000000001</v>
      </c>
      <c r="U5" t="s">
        <v>27</v>
      </c>
    </row>
    <row r="6" spans="1:21" x14ac:dyDescent="0.3">
      <c r="A6" t="s">
        <v>40</v>
      </c>
      <c r="B6" t="s">
        <v>41</v>
      </c>
      <c r="C6">
        <v>6.4219239999999997</v>
      </c>
      <c r="D6">
        <v>6.4600650000000002</v>
      </c>
      <c r="F6" t="s">
        <v>42</v>
      </c>
      <c r="G6" t="s">
        <v>43</v>
      </c>
      <c r="H6" t="s">
        <v>25</v>
      </c>
      <c r="I6" t="s">
        <v>44</v>
      </c>
      <c r="J6">
        <v>600</v>
      </c>
      <c r="K6">
        <v>600</v>
      </c>
      <c r="L6">
        <f t="shared" si="0"/>
        <v>5256000000</v>
      </c>
      <c r="M6">
        <f>Sheet1!$D$5</f>
        <v>3.6999999999999999E-4</v>
      </c>
      <c r="N6">
        <f t="shared" si="1"/>
        <v>97.236000000000004</v>
      </c>
      <c r="O6">
        <f>Sheet1!$D$2</f>
        <v>1.9000000000000001E-4</v>
      </c>
      <c r="P6">
        <f t="shared" si="2"/>
        <v>49.932000000000002</v>
      </c>
      <c r="Q6">
        <f>Sheet1!$D$3</f>
        <v>7.1999999999999998E-3</v>
      </c>
      <c r="R6">
        <f t="shared" si="3"/>
        <v>1892.1599999999999</v>
      </c>
      <c r="S6">
        <f>Sheet1!$D$4</f>
        <v>4.3E-3</v>
      </c>
      <c r="T6" s="6">
        <f t="shared" si="4"/>
        <v>1130.04</v>
      </c>
      <c r="U6" t="s">
        <v>27</v>
      </c>
    </row>
    <row r="7" spans="1:21" x14ac:dyDescent="0.3">
      <c r="A7" t="s">
        <v>45</v>
      </c>
      <c r="B7" t="s">
        <v>46</v>
      </c>
      <c r="C7">
        <v>6.5661817999999998</v>
      </c>
      <c r="D7">
        <v>3.5946766999999999</v>
      </c>
      <c r="H7" t="s">
        <v>25</v>
      </c>
      <c r="L7">
        <f t="shared" si="0"/>
        <v>0</v>
      </c>
      <c r="M7">
        <f>Sheet1!$D$5</f>
        <v>3.6999999999999999E-4</v>
      </c>
      <c r="N7">
        <f t="shared" si="1"/>
        <v>0</v>
      </c>
      <c r="O7">
        <f>Sheet1!$D$2</f>
        <v>1.9000000000000001E-4</v>
      </c>
      <c r="P7">
        <f t="shared" si="2"/>
        <v>0</v>
      </c>
      <c r="Q7">
        <f>Sheet1!$D$3</f>
        <v>7.1999999999999998E-3</v>
      </c>
      <c r="R7">
        <f t="shared" si="3"/>
        <v>0</v>
      </c>
      <c r="S7">
        <f>Sheet1!$D$4</f>
        <v>4.3E-3</v>
      </c>
      <c r="T7" s="6">
        <f t="shared" si="4"/>
        <v>0</v>
      </c>
    </row>
    <row r="8" spans="1:21" x14ac:dyDescent="0.3">
      <c r="A8" t="s">
        <v>47</v>
      </c>
      <c r="B8" t="s">
        <v>48</v>
      </c>
      <c r="C8">
        <v>5.0310478999999999</v>
      </c>
      <c r="D8">
        <v>6.3015074000000002</v>
      </c>
      <c r="H8" t="s">
        <v>25</v>
      </c>
      <c r="L8">
        <f t="shared" si="0"/>
        <v>0</v>
      </c>
      <c r="M8">
        <f>Sheet1!$D$5</f>
        <v>3.6999999999999999E-4</v>
      </c>
      <c r="N8">
        <f t="shared" si="1"/>
        <v>0</v>
      </c>
      <c r="O8">
        <f>Sheet1!$D$2</f>
        <v>1.9000000000000001E-4</v>
      </c>
      <c r="P8">
        <f t="shared" si="2"/>
        <v>0</v>
      </c>
      <c r="Q8">
        <f>Sheet1!$D$3</f>
        <v>7.1999999999999998E-3</v>
      </c>
      <c r="R8">
        <f t="shared" si="3"/>
        <v>0</v>
      </c>
      <c r="S8">
        <f>Sheet1!$D$4</f>
        <v>4.3E-3</v>
      </c>
      <c r="T8" s="6">
        <f t="shared" si="4"/>
        <v>0</v>
      </c>
    </row>
    <row r="9" spans="1:21" x14ac:dyDescent="0.3">
      <c r="A9" t="s">
        <v>49</v>
      </c>
      <c r="B9" t="s">
        <v>50</v>
      </c>
      <c r="C9">
        <v>6.4110031000000003</v>
      </c>
      <c r="D9">
        <v>5.6803898000000004</v>
      </c>
      <c r="H9" t="s">
        <v>25</v>
      </c>
      <c r="L9">
        <f t="shared" si="0"/>
        <v>0</v>
      </c>
      <c r="M9">
        <f>Sheet1!$D$5</f>
        <v>3.6999999999999999E-4</v>
      </c>
      <c r="N9">
        <f t="shared" si="1"/>
        <v>0</v>
      </c>
      <c r="O9">
        <f>Sheet1!$D$2</f>
        <v>1.9000000000000001E-4</v>
      </c>
      <c r="P9">
        <f t="shared" si="2"/>
        <v>0</v>
      </c>
      <c r="Q9">
        <f>Sheet1!$D$3</f>
        <v>7.1999999999999998E-3</v>
      </c>
      <c r="R9">
        <f t="shared" si="3"/>
        <v>0</v>
      </c>
      <c r="S9">
        <f>Sheet1!$D$4</f>
        <v>4.3E-3</v>
      </c>
      <c r="T9" s="6">
        <f t="shared" si="4"/>
        <v>0</v>
      </c>
    </row>
    <row r="10" spans="1:21" x14ac:dyDescent="0.3">
      <c r="A10" t="s">
        <v>51</v>
      </c>
      <c r="B10" t="s">
        <v>52</v>
      </c>
      <c r="C10">
        <v>5.5656072999999999</v>
      </c>
      <c r="D10">
        <v>6.7383290000000002</v>
      </c>
      <c r="H10" t="s">
        <v>25</v>
      </c>
      <c r="L10">
        <f t="shared" si="0"/>
        <v>0</v>
      </c>
      <c r="M10">
        <f>Sheet1!$D$5</f>
        <v>3.6999999999999999E-4</v>
      </c>
      <c r="N10">
        <f t="shared" si="1"/>
        <v>0</v>
      </c>
      <c r="O10">
        <f>Sheet1!$D$2</f>
        <v>1.9000000000000001E-4</v>
      </c>
      <c r="P10">
        <f t="shared" si="2"/>
        <v>0</v>
      </c>
      <c r="Q10">
        <f>Sheet1!$D$3</f>
        <v>7.1999999999999998E-3</v>
      </c>
      <c r="R10">
        <f t="shared" si="3"/>
        <v>0</v>
      </c>
      <c r="S10">
        <f>Sheet1!$D$4</f>
        <v>4.3E-3</v>
      </c>
      <c r="T10" s="6">
        <f t="shared" si="4"/>
        <v>0</v>
      </c>
    </row>
    <row r="11" spans="1:21" x14ac:dyDescent="0.3">
      <c r="A11" t="s">
        <v>53</v>
      </c>
      <c r="B11" t="s">
        <v>54</v>
      </c>
      <c r="C11">
        <v>9.9731205999999997</v>
      </c>
      <c r="D11">
        <v>6.8343433999999998</v>
      </c>
      <c r="H11" t="s">
        <v>25</v>
      </c>
      <c r="L11">
        <f t="shared" si="0"/>
        <v>0</v>
      </c>
      <c r="M11">
        <f>Sheet1!$D$5</f>
        <v>3.6999999999999999E-4</v>
      </c>
      <c r="N11">
        <f t="shared" si="1"/>
        <v>0</v>
      </c>
      <c r="O11">
        <f>Sheet1!$D$2</f>
        <v>1.9000000000000001E-4</v>
      </c>
      <c r="P11">
        <f t="shared" si="2"/>
        <v>0</v>
      </c>
      <c r="Q11">
        <f>Sheet1!$D$3</f>
        <v>7.1999999999999998E-3</v>
      </c>
      <c r="R11">
        <f t="shared" si="3"/>
        <v>0</v>
      </c>
      <c r="S11">
        <f>Sheet1!$D$4</f>
        <v>4.3E-3</v>
      </c>
      <c r="T11" s="6">
        <f t="shared" si="4"/>
        <v>0</v>
      </c>
    </row>
    <row r="12" spans="1:21" x14ac:dyDescent="0.3">
      <c r="A12" t="s">
        <v>55</v>
      </c>
      <c r="B12" t="s">
        <v>56</v>
      </c>
      <c r="C12">
        <v>9.6309839999999998</v>
      </c>
      <c r="D12">
        <v>10.818144999999999</v>
      </c>
      <c r="F12" t="s">
        <v>57</v>
      </c>
      <c r="G12" t="s">
        <v>58</v>
      </c>
      <c r="H12" t="s">
        <v>25</v>
      </c>
      <c r="I12" t="s">
        <v>59</v>
      </c>
      <c r="J12">
        <v>100</v>
      </c>
      <c r="K12">
        <v>100</v>
      </c>
      <c r="L12">
        <f t="shared" si="0"/>
        <v>876000000</v>
      </c>
      <c r="M12">
        <f>Sheet1!$D$5</f>
        <v>3.6999999999999999E-4</v>
      </c>
      <c r="N12">
        <f t="shared" si="1"/>
        <v>16.206</v>
      </c>
      <c r="O12">
        <f>Sheet1!$D$2</f>
        <v>1.9000000000000001E-4</v>
      </c>
      <c r="P12">
        <f t="shared" si="2"/>
        <v>8.322000000000001</v>
      </c>
      <c r="Q12">
        <f>Sheet1!$D$3</f>
        <v>7.1999999999999998E-3</v>
      </c>
      <c r="R12">
        <f t="shared" si="3"/>
        <v>315.36</v>
      </c>
      <c r="S12">
        <f>Sheet1!$D$4</f>
        <v>4.3E-3</v>
      </c>
      <c r="T12" s="6">
        <f t="shared" si="4"/>
        <v>188.34000000000003</v>
      </c>
      <c r="U12" t="s">
        <v>27</v>
      </c>
    </row>
    <row r="13" spans="1:21" x14ac:dyDescent="0.3">
      <c r="A13" t="s">
        <v>60</v>
      </c>
      <c r="B13" t="s">
        <v>61</v>
      </c>
      <c r="C13">
        <v>7.4108000000000001</v>
      </c>
      <c r="D13">
        <v>8.9739000000000004</v>
      </c>
      <c r="H13" t="s">
        <v>25</v>
      </c>
      <c r="I13" t="s">
        <v>26</v>
      </c>
      <c r="J13">
        <v>43.9</v>
      </c>
      <c r="K13">
        <v>43.9</v>
      </c>
      <c r="L13">
        <f t="shared" si="0"/>
        <v>384564000</v>
      </c>
      <c r="M13">
        <f>Sheet1!$D$5</f>
        <v>3.6999999999999999E-4</v>
      </c>
      <c r="N13">
        <f t="shared" si="1"/>
        <v>7.1144340000000001</v>
      </c>
      <c r="O13">
        <f>Sheet1!$D$2</f>
        <v>1.9000000000000001E-4</v>
      </c>
      <c r="P13">
        <f t="shared" si="2"/>
        <v>3.6533580000000003</v>
      </c>
      <c r="Q13">
        <f>Sheet1!$D$3</f>
        <v>7.1999999999999998E-3</v>
      </c>
      <c r="R13">
        <f t="shared" si="3"/>
        <v>138.44304</v>
      </c>
      <c r="S13">
        <f>Sheet1!$D$4</f>
        <v>4.3E-3</v>
      </c>
      <c r="T13" s="6">
        <f t="shared" si="4"/>
        <v>82.681260000000009</v>
      </c>
      <c r="U13" t="s">
        <v>62</v>
      </c>
    </row>
    <row r="14" spans="1:21" x14ac:dyDescent="0.3">
      <c r="A14" t="s">
        <v>64</v>
      </c>
      <c r="B14" t="s">
        <v>65</v>
      </c>
      <c r="C14">
        <v>6.6400799999999996E-2</v>
      </c>
      <c r="D14">
        <v>30.321342900000001</v>
      </c>
      <c r="H14" t="s">
        <v>63</v>
      </c>
      <c r="L14">
        <f t="shared" si="0"/>
        <v>0</v>
      </c>
      <c r="M14">
        <f>Sheet1!$D$5</f>
        <v>3.6999999999999999E-4</v>
      </c>
      <c r="N14">
        <f t="shared" si="1"/>
        <v>0</v>
      </c>
      <c r="O14">
        <f>Sheet1!$D$2</f>
        <v>1.9000000000000001E-4</v>
      </c>
      <c r="P14">
        <f t="shared" si="2"/>
        <v>0</v>
      </c>
      <c r="Q14">
        <f>Sheet1!$D$3</f>
        <v>7.1999999999999998E-3</v>
      </c>
      <c r="R14">
        <f t="shared" si="3"/>
        <v>0</v>
      </c>
      <c r="S14">
        <f>Sheet1!$D$4</f>
        <v>4.3E-3</v>
      </c>
      <c r="T14" s="6">
        <f t="shared" si="4"/>
        <v>0</v>
      </c>
    </row>
    <row r="15" spans="1:21" x14ac:dyDescent="0.3">
      <c r="A15" t="s">
        <v>66</v>
      </c>
      <c r="B15" t="s">
        <v>67</v>
      </c>
      <c r="C15">
        <v>0.63211569999999995</v>
      </c>
      <c r="D15">
        <v>34.158329600000002</v>
      </c>
      <c r="H15" t="s">
        <v>63</v>
      </c>
      <c r="L15">
        <f t="shared" si="0"/>
        <v>0</v>
      </c>
      <c r="M15">
        <f>Sheet1!$D$5</f>
        <v>3.6999999999999999E-4</v>
      </c>
      <c r="N15">
        <f t="shared" si="1"/>
        <v>0</v>
      </c>
      <c r="O15">
        <f>Sheet1!$D$2</f>
        <v>1.9000000000000001E-4</v>
      </c>
      <c r="P15">
        <f t="shared" si="2"/>
        <v>0</v>
      </c>
      <c r="Q15">
        <f>Sheet1!$D$3</f>
        <v>7.1999999999999998E-3</v>
      </c>
      <c r="R15">
        <f t="shared" si="3"/>
        <v>0</v>
      </c>
      <c r="S15">
        <f>Sheet1!$D$4</f>
        <v>4.3E-3</v>
      </c>
      <c r="T15" s="6">
        <f t="shared" si="4"/>
        <v>0</v>
      </c>
    </row>
    <row r="16" spans="1:21" x14ac:dyDescent="0.3">
      <c r="A16" t="s">
        <v>68</v>
      </c>
      <c r="B16" t="s">
        <v>69</v>
      </c>
      <c r="C16">
        <v>0.63722049999999997</v>
      </c>
      <c r="D16">
        <v>34.116661899999997</v>
      </c>
      <c r="H16" t="s">
        <v>63</v>
      </c>
      <c r="L16">
        <f t="shared" si="0"/>
        <v>0</v>
      </c>
      <c r="M16">
        <f>Sheet1!$D$5</f>
        <v>3.6999999999999999E-4</v>
      </c>
      <c r="N16">
        <f t="shared" si="1"/>
        <v>0</v>
      </c>
      <c r="O16">
        <f>Sheet1!$D$2</f>
        <v>1.9000000000000001E-4</v>
      </c>
      <c r="P16">
        <f t="shared" si="2"/>
        <v>0</v>
      </c>
      <c r="Q16">
        <f>Sheet1!$D$3</f>
        <v>7.1999999999999998E-3</v>
      </c>
      <c r="R16">
        <f t="shared" si="3"/>
        <v>0</v>
      </c>
      <c r="S16">
        <f>Sheet1!$D$4</f>
        <v>4.3E-3</v>
      </c>
      <c r="T16" s="6">
        <f t="shared" si="4"/>
        <v>0</v>
      </c>
    </row>
    <row r="17" spans="1:21" x14ac:dyDescent="0.3">
      <c r="A17" t="s">
        <v>70</v>
      </c>
      <c r="B17" t="s">
        <v>71</v>
      </c>
      <c r="C17">
        <v>0.4502929</v>
      </c>
      <c r="D17">
        <v>33.185575999999998</v>
      </c>
      <c r="H17" t="s">
        <v>63</v>
      </c>
      <c r="L17">
        <f t="shared" si="0"/>
        <v>0</v>
      </c>
      <c r="M17">
        <f>Sheet1!$D$5</f>
        <v>3.6999999999999999E-4</v>
      </c>
      <c r="N17">
        <f t="shared" si="1"/>
        <v>0</v>
      </c>
      <c r="O17">
        <f>Sheet1!$D$2</f>
        <v>1.9000000000000001E-4</v>
      </c>
      <c r="P17">
        <f t="shared" si="2"/>
        <v>0</v>
      </c>
      <c r="Q17">
        <f>Sheet1!$D$3</f>
        <v>7.1999999999999998E-3</v>
      </c>
      <c r="R17">
        <f t="shared" si="3"/>
        <v>0</v>
      </c>
      <c r="S17">
        <f>Sheet1!$D$4</f>
        <v>4.3E-3</v>
      </c>
      <c r="T17" s="6">
        <f t="shared" si="4"/>
        <v>0</v>
      </c>
    </row>
    <row r="18" spans="1:21" x14ac:dyDescent="0.3">
      <c r="A18" t="s">
        <v>72</v>
      </c>
      <c r="B18" t="s">
        <v>73</v>
      </c>
      <c r="C18">
        <v>0.37985479999999999</v>
      </c>
      <c r="D18">
        <v>32.945019700000003</v>
      </c>
      <c r="H18" t="s">
        <v>63</v>
      </c>
      <c r="L18">
        <f t="shared" si="0"/>
        <v>0</v>
      </c>
      <c r="M18">
        <f>Sheet1!$D$5</f>
        <v>3.6999999999999999E-4</v>
      </c>
      <c r="N18">
        <f t="shared" si="1"/>
        <v>0</v>
      </c>
      <c r="O18">
        <f>Sheet1!$D$2</f>
        <v>1.9000000000000001E-4</v>
      </c>
      <c r="P18">
        <f t="shared" si="2"/>
        <v>0</v>
      </c>
      <c r="Q18">
        <f>Sheet1!$D$3</f>
        <v>7.1999999999999998E-3</v>
      </c>
      <c r="R18">
        <f t="shared" si="3"/>
        <v>0</v>
      </c>
      <c r="S18">
        <f>Sheet1!$D$4</f>
        <v>4.3E-3</v>
      </c>
      <c r="T18" s="6">
        <f t="shared" si="4"/>
        <v>0</v>
      </c>
    </row>
    <row r="19" spans="1:21" x14ac:dyDescent="0.3">
      <c r="A19" t="s">
        <v>74</v>
      </c>
      <c r="B19" t="s">
        <v>75</v>
      </c>
      <c r="C19">
        <v>5.6788483999999997</v>
      </c>
      <c r="D19">
        <v>4.6797199999999997E-2</v>
      </c>
      <c r="H19" t="s">
        <v>76</v>
      </c>
      <c r="L19">
        <f t="shared" si="0"/>
        <v>0</v>
      </c>
      <c r="M19">
        <f>Sheet1!$D$5</f>
        <v>3.6999999999999999E-4</v>
      </c>
      <c r="N19">
        <f t="shared" si="1"/>
        <v>0</v>
      </c>
      <c r="O19">
        <f>Sheet1!$D$2</f>
        <v>1.9000000000000001E-4</v>
      </c>
      <c r="P19">
        <f t="shared" si="2"/>
        <v>0</v>
      </c>
      <c r="Q19">
        <f>Sheet1!$D$3</f>
        <v>7.1999999999999998E-3</v>
      </c>
      <c r="R19">
        <f t="shared" si="3"/>
        <v>0</v>
      </c>
      <c r="S19">
        <f>Sheet1!$D$4</f>
        <v>4.3E-3</v>
      </c>
      <c r="T19" s="6">
        <f t="shared" si="4"/>
        <v>0</v>
      </c>
    </row>
    <row r="20" spans="1:21" x14ac:dyDescent="0.3">
      <c r="A20" t="s">
        <v>77</v>
      </c>
      <c r="B20" t="s">
        <v>78</v>
      </c>
      <c r="C20">
        <v>5.7360445000000002</v>
      </c>
      <c r="D20">
        <v>9.0933999999999997E-3</v>
      </c>
      <c r="H20" t="s">
        <v>76</v>
      </c>
      <c r="L20">
        <f t="shared" si="0"/>
        <v>0</v>
      </c>
      <c r="M20">
        <f>Sheet1!$D$5</f>
        <v>3.6999999999999999E-4</v>
      </c>
      <c r="N20">
        <f t="shared" si="1"/>
        <v>0</v>
      </c>
      <c r="O20">
        <f>Sheet1!$D$2</f>
        <v>1.9000000000000001E-4</v>
      </c>
      <c r="P20">
        <f t="shared" si="2"/>
        <v>0</v>
      </c>
      <c r="Q20">
        <f>Sheet1!$D$3</f>
        <v>7.1999999999999998E-3</v>
      </c>
      <c r="R20">
        <f t="shared" si="3"/>
        <v>0</v>
      </c>
      <c r="S20">
        <f>Sheet1!$D$4</f>
        <v>4.3E-3</v>
      </c>
      <c r="T20" s="6">
        <f t="shared" si="4"/>
        <v>0</v>
      </c>
    </row>
    <row r="21" spans="1:21" x14ac:dyDescent="0.3">
      <c r="A21" t="s">
        <v>79</v>
      </c>
      <c r="B21" t="s">
        <v>80</v>
      </c>
      <c r="C21">
        <v>5.6747055</v>
      </c>
      <c r="D21">
        <v>1.1861E-2</v>
      </c>
      <c r="H21" t="s">
        <v>76</v>
      </c>
      <c r="L21">
        <f t="shared" si="0"/>
        <v>0</v>
      </c>
      <c r="M21">
        <f>Sheet1!$D$5</f>
        <v>3.6999999999999999E-4</v>
      </c>
      <c r="N21">
        <f t="shared" si="1"/>
        <v>0</v>
      </c>
      <c r="O21">
        <f>Sheet1!$D$2</f>
        <v>1.9000000000000001E-4</v>
      </c>
      <c r="P21">
        <f t="shared" si="2"/>
        <v>0</v>
      </c>
      <c r="Q21">
        <f>Sheet1!$D$3</f>
        <v>7.1999999999999998E-3</v>
      </c>
      <c r="R21">
        <f t="shared" si="3"/>
        <v>0</v>
      </c>
      <c r="S21">
        <f>Sheet1!$D$4</f>
        <v>4.3E-3</v>
      </c>
      <c r="T21" s="6">
        <f t="shared" si="4"/>
        <v>0</v>
      </c>
    </row>
    <row r="22" spans="1:21" x14ac:dyDescent="0.3">
      <c r="A22" t="s">
        <v>81</v>
      </c>
      <c r="B22" t="s">
        <v>82</v>
      </c>
      <c r="C22">
        <v>4.9687311000000003</v>
      </c>
      <c r="D22">
        <v>-1.6664433999999999</v>
      </c>
      <c r="H22" t="s">
        <v>76</v>
      </c>
      <c r="L22">
        <f t="shared" si="0"/>
        <v>0</v>
      </c>
      <c r="M22">
        <f>Sheet1!$D$5</f>
        <v>3.6999999999999999E-4</v>
      </c>
      <c r="N22">
        <f t="shared" si="1"/>
        <v>0</v>
      </c>
      <c r="O22">
        <f>Sheet1!$D$2</f>
        <v>1.9000000000000001E-4</v>
      </c>
      <c r="P22">
        <f t="shared" si="2"/>
        <v>0</v>
      </c>
      <c r="Q22">
        <f>Sheet1!$D$3</f>
        <v>7.1999999999999998E-3</v>
      </c>
      <c r="R22">
        <f t="shared" si="3"/>
        <v>0</v>
      </c>
      <c r="S22">
        <f>Sheet1!$D$4</f>
        <v>4.3E-3</v>
      </c>
      <c r="T22" s="6">
        <f t="shared" si="4"/>
        <v>0</v>
      </c>
    </row>
    <row r="23" spans="1:21" x14ac:dyDescent="0.3">
      <c r="A23" t="s">
        <v>83</v>
      </c>
      <c r="B23" t="s">
        <v>84</v>
      </c>
      <c r="C23">
        <v>5.6808455000000002</v>
      </c>
      <c r="D23">
        <v>4.05072E-2</v>
      </c>
      <c r="H23" t="s">
        <v>76</v>
      </c>
      <c r="L23">
        <f t="shared" si="0"/>
        <v>0</v>
      </c>
      <c r="M23">
        <f>Sheet1!$D$5</f>
        <v>3.6999999999999999E-4</v>
      </c>
      <c r="N23">
        <f t="shared" si="1"/>
        <v>0</v>
      </c>
      <c r="O23">
        <f>Sheet1!$D$2</f>
        <v>1.9000000000000001E-4</v>
      </c>
      <c r="P23">
        <f t="shared" si="2"/>
        <v>0</v>
      </c>
      <c r="Q23">
        <f>Sheet1!$D$3</f>
        <v>7.1999999999999998E-3</v>
      </c>
      <c r="R23">
        <f t="shared" si="3"/>
        <v>0</v>
      </c>
      <c r="S23">
        <f>Sheet1!$D$4</f>
        <v>4.3E-3</v>
      </c>
      <c r="T23" s="6">
        <f t="shared" si="4"/>
        <v>0</v>
      </c>
    </row>
    <row r="24" spans="1:21" x14ac:dyDescent="0.3">
      <c r="A24" t="s">
        <v>85</v>
      </c>
      <c r="B24" t="s">
        <v>86</v>
      </c>
      <c r="C24">
        <v>5.6815315000000002</v>
      </c>
      <c r="D24">
        <v>4.0977100000000002E-2</v>
      </c>
      <c r="H24" t="s">
        <v>76</v>
      </c>
      <c r="L24">
        <f t="shared" si="0"/>
        <v>0</v>
      </c>
      <c r="M24">
        <f>Sheet1!$D$5</f>
        <v>3.6999999999999999E-4</v>
      </c>
      <c r="N24">
        <f t="shared" si="1"/>
        <v>0</v>
      </c>
      <c r="O24">
        <f>Sheet1!$D$2</f>
        <v>1.9000000000000001E-4</v>
      </c>
      <c r="P24">
        <f t="shared" si="2"/>
        <v>0</v>
      </c>
      <c r="Q24">
        <f>Sheet1!$D$3</f>
        <v>7.1999999999999998E-3</v>
      </c>
      <c r="R24">
        <f t="shared" si="3"/>
        <v>0</v>
      </c>
      <c r="S24">
        <f>Sheet1!$D$4</f>
        <v>4.3E-3</v>
      </c>
      <c r="T24" s="6">
        <f t="shared" si="4"/>
        <v>0</v>
      </c>
    </row>
    <row r="25" spans="1:21" x14ac:dyDescent="0.3">
      <c r="A25" t="s">
        <v>87</v>
      </c>
      <c r="B25" t="s">
        <v>88</v>
      </c>
      <c r="C25">
        <v>4.9742907000000001</v>
      </c>
      <c r="D25">
        <v>-1.6595719</v>
      </c>
      <c r="H25" t="s">
        <v>76</v>
      </c>
      <c r="L25">
        <f t="shared" si="0"/>
        <v>0</v>
      </c>
      <c r="M25">
        <f>Sheet1!$D$5</f>
        <v>3.6999999999999999E-4</v>
      </c>
      <c r="N25">
        <f t="shared" si="1"/>
        <v>0</v>
      </c>
      <c r="O25">
        <f>Sheet1!$D$2</f>
        <v>1.9000000000000001E-4</v>
      </c>
      <c r="P25">
        <f t="shared" si="2"/>
        <v>0</v>
      </c>
      <c r="Q25">
        <f>Sheet1!$D$3</f>
        <v>7.1999999999999998E-3</v>
      </c>
      <c r="R25">
        <f t="shared" si="3"/>
        <v>0</v>
      </c>
      <c r="S25">
        <f>Sheet1!$D$4</f>
        <v>4.3E-3</v>
      </c>
      <c r="T25" s="6">
        <f t="shared" si="4"/>
        <v>0</v>
      </c>
    </row>
    <row r="26" spans="1:21" x14ac:dyDescent="0.3">
      <c r="A26" t="s">
        <v>89</v>
      </c>
      <c r="B26" t="s">
        <v>90</v>
      </c>
      <c r="C26">
        <v>5.6980491000000004</v>
      </c>
      <c r="D26">
        <v>2.2923900000000001E-2</v>
      </c>
      <c r="H26" t="s">
        <v>76</v>
      </c>
      <c r="L26">
        <f t="shared" si="0"/>
        <v>0</v>
      </c>
      <c r="M26">
        <f>Sheet1!$D$5</f>
        <v>3.6999999999999999E-4</v>
      </c>
      <c r="N26">
        <f t="shared" si="1"/>
        <v>0</v>
      </c>
      <c r="O26">
        <f>Sheet1!$D$2</f>
        <v>1.9000000000000001E-4</v>
      </c>
      <c r="P26">
        <f t="shared" si="2"/>
        <v>0</v>
      </c>
      <c r="Q26">
        <f>Sheet1!$D$3</f>
        <v>7.1999999999999998E-3</v>
      </c>
      <c r="R26">
        <f t="shared" si="3"/>
        <v>0</v>
      </c>
      <c r="S26">
        <f>Sheet1!$D$4</f>
        <v>4.3E-3</v>
      </c>
      <c r="T26" s="6">
        <f t="shared" si="4"/>
        <v>0</v>
      </c>
    </row>
    <row r="27" spans="1:21" x14ac:dyDescent="0.3">
      <c r="A27" t="s">
        <v>91</v>
      </c>
      <c r="B27" t="s">
        <v>92</v>
      </c>
      <c r="C27">
        <v>5.6773749000000002</v>
      </c>
      <c r="D27">
        <v>1.84963E-2</v>
      </c>
      <c r="H27" t="s">
        <v>76</v>
      </c>
      <c r="L27">
        <f t="shared" si="0"/>
        <v>0</v>
      </c>
      <c r="M27">
        <f>Sheet1!$D$5</f>
        <v>3.6999999999999999E-4</v>
      </c>
      <c r="N27">
        <f t="shared" si="1"/>
        <v>0</v>
      </c>
      <c r="O27">
        <f>Sheet1!$D$2</f>
        <v>1.9000000000000001E-4</v>
      </c>
      <c r="P27">
        <f t="shared" si="2"/>
        <v>0</v>
      </c>
      <c r="Q27">
        <f>Sheet1!$D$3</f>
        <v>7.1999999999999998E-3</v>
      </c>
      <c r="R27">
        <f t="shared" si="3"/>
        <v>0</v>
      </c>
      <c r="S27">
        <f>Sheet1!$D$4</f>
        <v>4.3E-3</v>
      </c>
      <c r="T27" s="6">
        <f t="shared" si="4"/>
        <v>0</v>
      </c>
    </row>
    <row r="28" spans="1:21" x14ac:dyDescent="0.3">
      <c r="A28" t="s">
        <v>93</v>
      </c>
      <c r="B28" t="s">
        <v>94</v>
      </c>
      <c r="C28">
        <v>14.796229</v>
      </c>
      <c r="D28">
        <v>-17.039687000000001</v>
      </c>
      <c r="F28" t="s">
        <v>57</v>
      </c>
      <c r="G28" t="s">
        <v>95</v>
      </c>
      <c r="H28" t="s">
        <v>96</v>
      </c>
      <c r="I28" t="s">
        <v>26</v>
      </c>
      <c r="J28">
        <v>30</v>
      </c>
      <c r="L28">
        <f t="shared" si="0"/>
        <v>0</v>
      </c>
      <c r="M28">
        <f>Sheet1!$D$5</f>
        <v>3.6999999999999999E-4</v>
      </c>
      <c r="N28">
        <f t="shared" si="1"/>
        <v>0</v>
      </c>
      <c r="O28">
        <f>Sheet1!$D$2</f>
        <v>1.9000000000000001E-4</v>
      </c>
      <c r="P28">
        <f t="shared" si="2"/>
        <v>0</v>
      </c>
      <c r="Q28">
        <f>Sheet1!$D$3</f>
        <v>7.1999999999999998E-3</v>
      </c>
      <c r="R28">
        <f t="shared" si="3"/>
        <v>0</v>
      </c>
      <c r="S28">
        <f>Sheet1!$D$4</f>
        <v>4.3E-3</v>
      </c>
      <c r="T28" s="6">
        <f t="shared" si="4"/>
        <v>0</v>
      </c>
      <c r="U28" t="s">
        <v>27</v>
      </c>
    </row>
    <row r="29" spans="1:21" x14ac:dyDescent="0.3">
      <c r="A29" t="s">
        <v>97</v>
      </c>
      <c r="B29" t="s">
        <v>98</v>
      </c>
      <c r="C29">
        <v>14.686987999999999</v>
      </c>
      <c r="D29">
        <v>-17.213926000000001</v>
      </c>
      <c r="F29" t="s">
        <v>57</v>
      </c>
      <c r="G29" t="s">
        <v>95</v>
      </c>
      <c r="H29" t="s">
        <v>96</v>
      </c>
      <c r="I29" t="s">
        <v>26</v>
      </c>
      <c r="J29">
        <v>125</v>
      </c>
      <c r="L29">
        <f t="shared" si="0"/>
        <v>0</v>
      </c>
      <c r="M29">
        <f>Sheet1!$D$5</f>
        <v>3.6999999999999999E-4</v>
      </c>
      <c r="N29">
        <f t="shared" si="1"/>
        <v>0</v>
      </c>
      <c r="O29">
        <f>Sheet1!$D$2</f>
        <v>1.9000000000000001E-4</v>
      </c>
      <c r="P29">
        <f t="shared" si="2"/>
        <v>0</v>
      </c>
      <c r="Q29">
        <f>Sheet1!$D$3</f>
        <v>7.1999999999999998E-3</v>
      </c>
      <c r="R29">
        <f t="shared" si="3"/>
        <v>0</v>
      </c>
      <c r="S29">
        <f>Sheet1!$D$4</f>
        <v>4.3E-3</v>
      </c>
      <c r="T29" s="6">
        <f t="shared" si="4"/>
        <v>0</v>
      </c>
      <c r="U29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BA3C7-20B5-4010-9AB0-E4C2920C77FD}">
  <dimension ref="A1:E11"/>
  <sheetViews>
    <sheetView topLeftCell="B1" workbookViewId="0">
      <selection activeCell="D5" sqref="D5"/>
    </sheetView>
  </sheetViews>
  <sheetFormatPr defaultColWidth="11.44140625" defaultRowHeight="14.4" x14ac:dyDescent="0.3"/>
  <cols>
    <col min="1" max="1" width="15.109375" customWidth="1"/>
    <col min="2" max="2" width="30.77734375" customWidth="1"/>
    <col min="3" max="3" width="29.33203125" customWidth="1"/>
    <col min="4" max="4" width="45.6640625" bestFit="1" customWidth="1"/>
    <col min="5" max="5" width="88" bestFit="1" customWidth="1"/>
  </cols>
  <sheetData>
    <row r="1" spans="1:5" x14ac:dyDescent="0.3">
      <c r="A1" s="1" t="s">
        <v>99</v>
      </c>
      <c r="B1" s="1" t="s">
        <v>100</v>
      </c>
      <c r="C1" s="1" t="s">
        <v>101</v>
      </c>
      <c r="D1" s="1" t="s">
        <v>102</v>
      </c>
      <c r="E1" s="2" t="s">
        <v>103</v>
      </c>
    </row>
    <row r="2" spans="1:5" x14ac:dyDescent="0.3">
      <c r="A2" s="1" t="s">
        <v>104</v>
      </c>
      <c r="B2" s="1">
        <v>0.19</v>
      </c>
      <c r="C2" s="1" t="s">
        <v>105</v>
      </c>
      <c r="D2" s="1">
        <f>B2/1000</f>
        <v>1.9000000000000001E-4</v>
      </c>
      <c r="E2" s="2" t="s">
        <v>106</v>
      </c>
    </row>
    <row r="3" spans="1:5" x14ac:dyDescent="0.3">
      <c r="A3" s="1" t="s">
        <v>107</v>
      </c>
      <c r="B3" s="1">
        <v>7.2</v>
      </c>
      <c r="C3" s="1" t="s">
        <v>105</v>
      </c>
      <c r="D3" s="1">
        <f t="shared" ref="D3:D5" si="0">B3/1000</f>
        <v>7.1999999999999998E-3</v>
      </c>
      <c r="E3" s="2"/>
    </row>
    <row r="4" spans="1:5" x14ac:dyDescent="0.3">
      <c r="A4" s="1" t="s">
        <v>108</v>
      </c>
      <c r="B4" s="1">
        <v>4.3</v>
      </c>
      <c r="C4" s="1" t="s">
        <v>105</v>
      </c>
      <c r="D4" s="1">
        <f t="shared" si="0"/>
        <v>4.3E-3</v>
      </c>
      <c r="E4" s="2" t="s">
        <v>109</v>
      </c>
    </row>
    <row r="5" spans="1:5" x14ac:dyDescent="0.3">
      <c r="A5" s="1" t="s">
        <v>110</v>
      </c>
      <c r="B5" s="1">
        <f>AVERAGE(0.29,0.45)</f>
        <v>0.37</v>
      </c>
      <c r="C5" s="1" t="s">
        <v>105</v>
      </c>
      <c r="D5" s="1">
        <f t="shared" si="0"/>
        <v>3.6999999999999999E-4</v>
      </c>
      <c r="E5" s="2" t="s">
        <v>111</v>
      </c>
    </row>
    <row r="6" spans="1:5" x14ac:dyDescent="0.3">
      <c r="A6" s="2"/>
      <c r="B6" s="2"/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  <row r="9" spans="1:5" x14ac:dyDescent="0.3">
      <c r="A9" s="2"/>
      <c r="B9" s="2"/>
      <c r="C9" s="2"/>
      <c r="D9" s="2"/>
      <c r="E9" s="2"/>
    </row>
    <row r="10" spans="1:5" ht="39.6" x14ac:dyDescent="0.3">
      <c r="A10" s="3" t="s">
        <v>112</v>
      </c>
      <c r="B10" s="4" t="s">
        <v>113</v>
      </c>
      <c r="C10" s="5" t="s">
        <v>114</v>
      </c>
      <c r="D10" s="2"/>
      <c r="E10" s="2"/>
    </row>
    <row r="11" spans="1:5" ht="39.6" x14ac:dyDescent="0.3">
      <c r="B11" s="4" t="s">
        <v>115</v>
      </c>
    </row>
  </sheetData>
  <hyperlinks>
    <hyperlink ref="C10" r:id="rId1" xr:uid="{1DFE28ED-43F3-48BD-8273-55DED26A515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africa_coal_plants_main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Zakir Khizer</cp:lastModifiedBy>
  <dcterms:created xsi:type="dcterms:W3CDTF">2025-12-09T10:29:43Z</dcterms:created>
  <dcterms:modified xsi:type="dcterms:W3CDTF">2025-12-11T13:31:37Z</dcterms:modified>
</cp:coreProperties>
</file>