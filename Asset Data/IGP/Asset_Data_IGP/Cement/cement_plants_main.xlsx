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Cement\"/>
    </mc:Choice>
  </mc:AlternateContent>
  <xr:revisionPtr revIDLastSave="0" documentId="13_ncr:9_{F1D62A12-07A4-43F6-ACC9-0AEE1EEFC31D}" xr6:coauthVersionLast="47" xr6:coauthVersionMax="47" xr10:uidLastSave="{00000000-0000-0000-0000-000000000000}"/>
  <bookViews>
    <workbookView xWindow="-108" yWindow="-108" windowWidth="23256" windowHeight="12456" xr2:uid="{BB306F61-F763-4231-9C1E-DF829388B41E}"/>
  </bookViews>
  <sheets>
    <sheet name="cement_plants_main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2" i="1"/>
  <c r="R2" i="1" s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P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2" i="1"/>
  <c r="L2" i="1" s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G7" i="2"/>
  <c r="F7" i="2"/>
  <c r="F6" i="2"/>
  <c r="G6" i="2" s="1"/>
  <c r="F5" i="2"/>
  <c r="G5" i="2" s="1"/>
  <c r="F4" i="2"/>
  <c r="G4" i="2" s="1"/>
  <c r="F3" i="2"/>
  <c r="G3" i="2" s="1"/>
  <c r="F2" i="2"/>
  <c r="G2" i="2" s="1"/>
  <c r="J57" i="1"/>
  <c r="J56" i="1"/>
  <c r="J45" i="1"/>
  <c r="J43" i="1"/>
  <c r="J36" i="1"/>
  <c r="J34" i="1"/>
  <c r="J30" i="1"/>
  <c r="J29" i="1"/>
  <c r="J22" i="1"/>
  <c r="N2" i="1"/>
</calcChain>
</file>

<file path=xl/sharedStrings.xml><?xml version="1.0" encoding="utf-8"?>
<sst xmlns="http://schemas.openxmlformats.org/spreadsheetml/2006/main" count="590" uniqueCount="206">
  <si>
    <t>id</t>
  </si>
  <si>
    <t>name</t>
  </si>
  <si>
    <t>lat</t>
  </si>
  <si>
    <t>lon</t>
  </si>
  <si>
    <t>type</t>
  </si>
  <si>
    <t xml:space="preserve"> fuel</t>
  </si>
  <si>
    <t>region</t>
  </si>
  <si>
    <t>country</t>
  </si>
  <si>
    <t>status</t>
  </si>
  <si>
    <t>emfpm10</t>
  </si>
  <si>
    <t>emfpm25</t>
  </si>
  <si>
    <t>emfso2</t>
  </si>
  <si>
    <t>emfnox</t>
  </si>
  <si>
    <t>CMB-1</t>
  </si>
  <si>
    <t>grinding</t>
  </si>
  <si>
    <t>Dhaka Division</t>
  </si>
  <si>
    <t>Bangladesh</t>
  </si>
  <si>
    <t>operating</t>
  </si>
  <si>
    <t>CMB-2</t>
  </si>
  <si>
    <t>LafargeHolcim Bangladesh Ltd</t>
  </si>
  <si>
    <t>CMB-3</t>
  </si>
  <si>
    <t>Khulna Division</t>
  </si>
  <si>
    <t>CMB-4</t>
  </si>
  <si>
    <t>Shun Shing Cement Mills Ltd</t>
  </si>
  <si>
    <t>CMB-5</t>
  </si>
  <si>
    <t>CMB-6</t>
  </si>
  <si>
    <t>CMB-7</t>
  </si>
  <si>
    <t>CMB-8</t>
  </si>
  <si>
    <t>CMB-9</t>
  </si>
  <si>
    <t>CMB-10</t>
  </si>
  <si>
    <t>CMB-11</t>
  </si>
  <si>
    <t>Barisal Division</t>
  </si>
  <si>
    <t>CMB-12</t>
  </si>
  <si>
    <t>CMB-13</t>
  </si>
  <si>
    <t>CMB-14</t>
  </si>
  <si>
    <t>CMB-15</t>
  </si>
  <si>
    <t>CMB-16</t>
  </si>
  <si>
    <t>CMB-17</t>
  </si>
  <si>
    <t>Rajshahi Division</t>
  </si>
  <si>
    <t>CMB-18</t>
  </si>
  <si>
    <t>Uttar Pradesh</t>
  </si>
  <si>
    <t>India</t>
  </si>
  <si>
    <t>West Bengal</t>
  </si>
  <si>
    <t>CMI-3</t>
  </si>
  <si>
    <t>RCCPL Pvt Ltd</t>
  </si>
  <si>
    <t>CMI-4</t>
  </si>
  <si>
    <t>ACC Ltd</t>
  </si>
  <si>
    <t>CMI-5</t>
  </si>
  <si>
    <t>Ambuja Cements Ltd</t>
  </si>
  <si>
    <t>Punjab</t>
  </si>
  <si>
    <t>CMI-6</t>
  </si>
  <si>
    <t>CMI-7</t>
  </si>
  <si>
    <t>CMI-8</t>
  </si>
  <si>
    <t>Uttarakhand</t>
  </si>
  <si>
    <t>CMI-9</t>
  </si>
  <si>
    <t>CMI-10</t>
  </si>
  <si>
    <t>Century Cement</t>
  </si>
  <si>
    <t>CMI-11</t>
  </si>
  <si>
    <t>Nu Vista Ltd</t>
  </si>
  <si>
    <t>CMI-12</t>
  </si>
  <si>
    <t>Nuvoco Vistas Corporation Ltd</t>
  </si>
  <si>
    <t>CMI-13</t>
  </si>
  <si>
    <t>Kalyanpur Cements Ltd</t>
  </si>
  <si>
    <t>integrated</t>
  </si>
  <si>
    <t>Bihar</t>
  </si>
  <si>
    <t>CMI-14</t>
  </si>
  <si>
    <t>Haryana</t>
  </si>
  <si>
    <t>CMI-15</t>
  </si>
  <si>
    <t>CMI-16</t>
  </si>
  <si>
    <t>OCL India Ltd</t>
  </si>
  <si>
    <t>CMI-17</t>
  </si>
  <si>
    <t>Ramco Cements Ltd</t>
  </si>
  <si>
    <t>CMI-18</t>
  </si>
  <si>
    <t>J K Cement Ltd</t>
  </si>
  <si>
    <t>CMI-19</t>
  </si>
  <si>
    <t>Shree Cement Ltd</t>
  </si>
  <si>
    <t>CMI-20</t>
  </si>
  <si>
    <t>JK Lakshmi Cement Ltd</t>
  </si>
  <si>
    <t>CMI-21</t>
  </si>
  <si>
    <t>CMI-22</t>
  </si>
  <si>
    <t>CMI-23</t>
  </si>
  <si>
    <t>CMI-24</t>
  </si>
  <si>
    <t>JSW Cement Ltd</t>
  </si>
  <si>
    <t>CMI-25</t>
  </si>
  <si>
    <t>Rajasthan</t>
  </si>
  <si>
    <t>CMI-26</t>
  </si>
  <si>
    <t>UltraTech Cement Ltd</t>
  </si>
  <si>
    <t>CMI-27</t>
  </si>
  <si>
    <t>CMI-28</t>
  </si>
  <si>
    <t>CMI-29</t>
  </si>
  <si>
    <t>CMI-30</t>
  </si>
  <si>
    <t>CMI-31</t>
  </si>
  <si>
    <t>CMI-32</t>
  </si>
  <si>
    <t>CMI-33</t>
  </si>
  <si>
    <t>CMI-34</t>
  </si>
  <si>
    <t>CMI-35</t>
  </si>
  <si>
    <t>CMI-36</t>
  </si>
  <si>
    <t>CMI-37</t>
  </si>
  <si>
    <t>Anwarzaib White Cement Ltd</t>
  </si>
  <si>
    <t>Sindh</t>
  </si>
  <si>
    <t>Pakistan</t>
  </si>
  <si>
    <t>CMI-38</t>
  </si>
  <si>
    <t>Askari Cement Ltd</t>
  </si>
  <si>
    <t>Khyber Pakhtunkhwa</t>
  </si>
  <si>
    <t>CMI-39</t>
  </si>
  <si>
    <t>CMP-1</t>
  </si>
  <si>
    <t>CMP-2</t>
  </si>
  <si>
    <t>Bestway Cement Ltd</t>
  </si>
  <si>
    <t>CMP-3</t>
  </si>
  <si>
    <t>CMP-4</t>
  </si>
  <si>
    <t>CMP-5</t>
  </si>
  <si>
    <t>CMP-6</t>
  </si>
  <si>
    <t>D G Khan Cement Company Ltd</t>
  </si>
  <si>
    <t>CMP-7</t>
  </si>
  <si>
    <t>CMP-8</t>
  </si>
  <si>
    <t>Balochistan</t>
  </si>
  <si>
    <t>CMP-9</t>
  </si>
  <si>
    <t>Dandot Cement Company Ltd</t>
  </si>
  <si>
    <t>CMP-10</t>
  </si>
  <si>
    <t>Dewan Cement Ltd</t>
  </si>
  <si>
    <t>CMP-11</t>
  </si>
  <si>
    <t>CMP-12</t>
  </si>
  <si>
    <t>Fauji Cement Company Ltd</t>
  </si>
  <si>
    <t>CMP-13</t>
  </si>
  <si>
    <t>Fecto Cement Ltd</t>
  </si>
  <si>
    <t>Islamabad Capital Territory</t>
  </si>
  <si>
    <t>CMP-14</t>
  </si>
  <si>
    <t>Flying Cement Co Ltd</t>
  </si>
  <si>
    <t>CMP-15</t>
  </si>
  <si>
    <t>Gharibwal Cement Ltd</t>
  </si>
  <si>
    <t>CMP-16</t>
  </si>
  <si>
    <t>Cherat Cement Company Ltd</t>
  </si>
  <si>
    <t>CMP-17</t>
  </si>
  <si>
    <t>Kohat Cement Company Ltd</t>
  </si>
  <si>
    <t>CMP-18</t>
  </si>
  <si>
    <t>Maple Leaf Cement Factory Ltd</t>
  </si>
  <si>
    <t>CMP-19</t>
  </si>
  <si>
    <t>Lucky Cement Ltd</t>
  </si>
  <si>
    <t>CMP-20</t>
  </si>
  <si>
    <t>Dadabhoy Cement Industries Ltd</t>
  </si>
  <si>
    <t>CMP-21</t>
  </si>
  <si>
    <t>Attock Cement Pakistan Ltd</t>
  </si>
  <si>
    <t>CMP-22</t>
  </si>
  <si>
    <t>Pioneer Cement Ltd</t>
  </si>
  <si>
    <t>CMP-23</t>
  </si>
  <si>
    <t>Power Cement Ltd</t>
  </si>
  <si>
    <t>CMP-24</t>
  </si>
  <si>
    <t>Rohri Cement Factory Pvt Ltd</t>
  </si>
  <si>
    <t>CMP-25</t>
  </si>
  <si>
    <t>Thatta Cement Company Ltd</t>
  </si>
  <si>
    <t>CMP-26</t>
  </si>
  <si>
    <t>Zeal Pak Cement Factory Ltd</t>
  </si>
  <si>
    <t>CMP-27</t>
  </si>
  <si>
    <t>CMP-28</t>
  </si>
  <si>
    <t>CMP-29</t>
  </si>
  <si>
    <t>CMP-30</t>
  </si>
  <si>
    <t>CMP-31</t>
  </si>
  <si>
    <t>CMP-32</t>
  </si>
  <si>
    <t>CMP-33</t>
  </si>
  <si>
    <t>capacity_tonnes</t>
  </si>
  <si>
    <t xml:space="preserve"> pm10_t_yr</t>
  </si>
  <si>
    <t> pm25_t_yr</t>
  </si>
  <si>
    <t> so2_t_yr</t>
  </si>
  <si>
    <t> nox_t_yr</t>
  </si>
  <si>
    <t>Heidelberg Cement Bangladesh Ltd - Kanchpur Plant</t>
  </si>
  <si>
    <t>Mongla Cement Factory</t>
  </si>
  <si>
    <t xml:space="preserve">
Crown Cement Factory Ltd.</t>
  </si>
  <si>
    <t xml:space="preserve">
Elephant Brand Cement</t>
  </si>
  <si>
    <t>Scan Cement Factory</t>
  </si>
  <si>
    <t xml:space="preserve">
Five Rings Cement Industries</t>
  </si>
  <si>
    <t>Anchor Cement Company</t>
  </si>
  <si>
    <t xml:space="preserve">
Shah Cement</t>
  </si>
  <si>
    <t xml:space="preserve">
Premier cement mills 3/4 point</t>
  </si>
  <si>
    <t xml:space="preserve">
Anwar Cement Ltd.Plant</t>
  </si>
  <si>
    <t xml:space="preserve">
Unique Cement Mills</t>
  </si>
  <si>
    <t>N/A</t>
  </si>
  <si>
    <t>Aman Cement Mills Ltd.</t>
  </si>
  <si>
    <t>Shun Shing Cement Mills Ltd (Plant 2)</t>
  </si>
  <si>
    <t>Chittagong</t>
  </si>
  <si>
    <t>Shun Shing Cement Mills Ltd (Plant 3)</t>
  </si>
  <si>
    <t>CMB-19</t>
  </si>
  <si>
    <t>Heidelberg Materials Bangladesh PLC. - Chattogram Plant</t>
  </si>
  <si>
    <t>CMB-20</t>
  </si>
  <si>
    <t>Heidelberg Cement Bangladesh Ltd - Munshiganj Plant</t>
  </si>
  <si>
    <t>Pollutant</t>
  </si>
  <si>
    <t>EF_clinker</t>
  </si>
  <si>
    <t>Unit</t>
  </si>
  <si>
    <t>Type</t>
  </si>
  <si>
    <t>Clinker factor*</t>
  </si>
  <si>
    <t>EF_cement (g/tonnes of cement)</t>
  </si>
  <si>
    <t>EF_cement (tonnes of pollutant/tonnes of cement)</t>
  </si>
  <si>
    <t>Notes</t>
  </si>
  <si>
    <t>PM2.5</t>
  </si>
  <si>
    <t>g/tonnes</t>
  </si>
  <si>
    <t>Grinding</t>
  </si>
  <si>
    <t>SO2**</t>
  </si>
  <si>
    <t>NOx**</t>
  </si>
  <si>
    <t>PM10</t>
  </si>
  <si>
    <t xml:space="preserve">TSP </t>
  </si>
  <si>
    <t>BC</t>
  </si>
  <si>
    <t>*Clinker factor: ratio of clinker mass to cement mass</t>
  </si>
  <si>
    <t>** Median values used from Best available techniques</t>
  </si>
  <si>
    <t>Source: PM2.5, PM10, TSP, BC</t>
  </si>
  <si>
    <t>https://www.eea.europa.eu/en/analysis/publications/emep-eea-guidebook-2023/part-b-sectoral-guidance-chapters/2-industrial-processes-and-product-use/2-a-mineral-products/2-a-1-cement-production-2023/@@download/file</t>
  </si>
  <si>
    <t>Source: Best available techniques for SO2 and NOx</t>
  </si>
  <si>
    <t>https://unece.org/fileadmin/DAM/env/documents/2020/AIR/WGSR/TFTEI_Cement_final_document-december-2020.pdf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</si>
</sst>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0" fontId="18" fillId="33" borderId="0" xfId="0" applyFont="1" applyFill="1" applyAlignment="1">
      <alignment horizontal="center"/>
    </xf>
    <xf numFmtId="0" fontId="18" fillId="33" borderId="0" xfId="0" applyFont="1" applyFill="1"/>
    <xf numFmtId="0" fontId="0" fillId="33" borderId="0" xfId="0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42" applyAlignment="1">
      <alignment horizontal="center" vertical="center" wrapText="1"/>
    </xf>
    <xf numFmtId="0" fontId="19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ea.europa.eu/en/analysis/publications/emep-eea-guidebook-2023/part-b-sectoral-guidance-chapters/2-industrial-processes-and-product-use/2-a-mineral-products/2-a-1-cement-production-2023/@@download/file" TargetMode="External"/><Relationship Id="rId1" Type="http://schemas.openxmlformats.org/officeDocument/2006/relationships/hyperlink" Target="https://unece.org/fileadmin/DAM/env/documents/2020/AIR/WGSR/TFTEI_Cement_final_document-december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4D43-4DC7-4001-B92D-0EF55408347F}">
  <dimension ref="A1:R91"/>
  <sheetViews>
    <sheetView tabSelected="1" topLeftCell="A66" workbookViewId="0">
      <selection activeCell="R2" sqref="R2:R91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159</v>
      </c>
      <c r="K1" s="1" t="s">
        <v>9</v>
      </c>
      <c r="L1" s="1" t="s">
        <v>160</v>
      </c>
      <c r="M1" s="1" t="s">
        <v>10</v>
      </c>
      <c r="N1" s="1" t="s">
        <v>161</v>
      </c>
      <c r="O1" s="1" t="s">
        <v>11</v>
      </c>
      <c r="P1" s="1" t="s">
        <v>162</v>
      </c>
      <c r="Q1" s="1" t="s">
        <v>12</v>
      </c>
      <c r="R1" s="1" t="s">
        <v>163</v>
      </c>
    </row>
    <row r="2" spans="1:18" x14ac:dyDescent="0.3">
      <c r="A2" s="1" t="s">
        <v>13</v>
      </c>
      <c r="B2" s="1" t="s">
        <v>164</v>
      </c>
      <c r="C2">
        <v>23.712851001134901</v>
      </c>
      <c r="D2">
        <v>90.516047593866304</v>
      </c>
      <c r="E2" t="s">
        <v>14</v>
      </c>
      <c r="G2" t="s">
        <v>15</v>
      </c>
      <c r="H2" t="s">
        <v>16</v>
      </c>
      <c r="I2" t="s">
        <v>17</v>
      </c>
      <c r="J2">
        <v>1500000</v>
      </c>
      <c r="K2" s="1">
        <f>Sheet1!$G$5</f>
        <v>2.2229999999999998E-4</v>
      </c>
      <c r="L2" s="1">
        <f>J2*K2</f>
        <v>333.45</v>
      </c>
      <c r="M2" s="1">
        <f>Sheet1!$G$2</f>
        <v>1.2349999999999999E-4</v>
      </c>
      <c r="N2" s="1">
        <f>J2*M2</f>
        <v>185.25</v>
      </c>
      <c r="O2" s="1">
        <f>Sheet1!$G$3</f>
        <v>7.695E-4</v>
      </c>
      <c r="P2" s="1">
        <f>O2*J2</f>
        <v>1154.25</v>
      </c>
      <c r="Q2" s="1">
        <f>Sheet1!$G$4</f>
        <v>4.9399999999999997E-4</v>
      </c>
      <c r="R2" s="1">
        <f>Q2*J2</f>
        <v>741</v>
      </c>
    </row>
    <row r="3" spans="1:18" x14ac:dyDescent="0.3">
      <c r="A3" s="1" t="s">
        <v>18</v>
      </c>
      <c r="B3" s="1" t="s">
        <v>19</v>
      </c>
      <c r="C3">
        <v>23.611004999999999</v>
      </c>
      <c r="D3">
        <v>90.613006999999996</v>
      </c>
      <c r="E3" t="s">
        <v>14</v>
      </c>
      <c r="G3" t="s">
        <v>15</v>
      </c>
      <c r="H3" t="s">
        <v>16</v>
      </c>
      <c r="I3" t="s">
        <v>17</v>
      </c>
      <c r="J3">
        <v>2707000</v>
      </c>
      <c r="K3" s="1">
        <f>Sheet1!$G$5</f>
        <v>2.2229999999999998E-4</v>
      </c>
      <c r="L3" s="1">
        <f t="shared" ref="L3:L66" si="0">J3*K3</f>
        <v>601.76609999999994</v>
      </c>
      <c r="M3" s="1">
        <f>Sheet1!$G$2</f>
        <v>1.2349999999999999E-4</v>
      </c>
      <c r="N3" s="1">
        <f t="shared" ref="N3:N66" si="1">J3*M3</f>
        <v>334.31450000000001</v>
      </c>
      <c r="O3" s="1">
        <f>Sheet1!$G$3</f>
        <v>7.695E-4</v>
      </c>
      <c r="P3" s="1">
        <f t="shared" ref="P3:P66" si="2">O3*J3</f>
        <v>2083.0365000000002</v>
      </c>
      <c r="Q3" s="1">
        <f>Sheet1!$G$4</f>
        <v>4.9399999999999997E-4</v>
      </c>
      <c r="R3" s="1">
        <f t="shared" ref="R3:R66" si="3">Q3*J3</f>
        <v>1337.258</v>
      </c>
    </row>
    <row r="4" spans="1:18" x14ac:dyDescent="0.3">
      <c r="A4" s="1" t="s">
        <v>20</v>
      </c>
      <c r="B4" s="1" t="s">
        <v>19</v>
      </c>
      <c r="C4">
        <v>22.504971999999999</v>
      </c>
      <c r="D4">
        <v>89.589502999999993</v>
      </c>
      <c r="E4" t="s">
        <v>14</v>
      </c>
      <c r="G4" t="s">
        <v>21</v>
      </c>
      <c r="H4" t="s">
        <v>16</v>
      </c>
      <c r="I4" t="s">
        <v>17</v>
      </c>
      <c r="J4">
        <v>200000</v>
      </c>
      <c r="K4" s="1">
        <f>Sheet1!$G$5</f>
        <v>2.2229999999999998E-4</v>
      </c>
      <c r="L4" s="1">
        <f t="shared" si="0"/>
        <v>44.459999999999994</v>
      </c>
      <c r="M4" s="1">
        <f>Sheet1!$G$2</f>
        <v>1.2349999999999999E-4</v>
      </c>
      <c r="N4" s="1">
        <f t="shared" si="1"/>
        <v>24.7</v>
      </c>
      <c r="O4" s="1">
        <f>Sheet1!$G$3</f>
        <v>7.695E-4</v>
      </c>
      <c r="P4" s="1">
        <f t="shared" si="2"/>
        <v>153.9</v>
      </c>
      <c r="Q4" s="1">
        <f>Sheet1!$G$4</f>
        <v>4.9399999999999997E-4</v>
      </c>
      <c r="R4" s="1">
        <f t="shared" si="3"/>
        <v>98.8</v>
      </c>
    </row>
    <row r="5" spans="1:18" x14ac:dyDescent="0.3">
      <c r="A5" s="1" t="s">
        <v>22</v>
      </c>
      <c r="B5" s="1" t="s">
        <v>23</v>
      </c>
      <c r="C5">
        <v>22.317574</v>
      </c>
      <c r="D5">
        <v>91.867925</v>
      </c>
      <c r="E5" t="s">
        <v>14</v>
      </c>
      <c r="G5" t="s">
        <v>21</v>
      </c>
      <c r="H5" t="s">
        <v>16</v>
      </c>
      <c r="I5" t="s">
        <v>17</v>
      </c>
      <c r="J5">
        <v>1500000</v>
      </c>
      <c r="K5" s="1">
        <f>Sheet1!$G$5</f>
        <v>2.2229999999999998E-4</v>
      </c>
      <c r="L5" s="1">
        <f t="shared" si="0"/>
        <v>333.45</v>
      </c>
      <c r="M5" s="1">
        <f>Sheet1!$G$2</f>
        <v>1.2349999999999999E-4</v>
      </c>
      <c r="N5" s="1">
        <f t="shared" si="1"/>
        <v>185.25</v>
      </c>
      <c r="O5" s="1">
        <f>Sheet1!$G$3</f>
        <v>7.695E-4</v>
      </c>
      <c r="P5" s="1">
        <f t="shared" si="2"/>
        <v>1154.25</v>
      </c>
      <c r="Q5" s="1">
        <f>Sheet1!$G$4</f>
        <v>4.9399999999999997E-4</v>
      </c>
      <c r="R5" s="1">
        <f t="shared" si="3"/>
        <v>741</v>
      </c>
    </row>
    <row r="6" spans="1:18" x14ac:dyDescent="0.3">
      <c r="A6" s="1" t="s">
        <v>24</v>
      </c>
      <c r="B6" s="1" t="s">
        <v>165</v>
      </c>
      <c r="C6">
        <v>22.517901841418102</v>
      </c>
      <c r="D6">
        <v>89.585620367690098</v>
      </c>
      <c r="E6" t="s">
        <v>14</v>
      </c>
      <c r="G6" t="s">
        <v>21</v>
      </c>
      <c r="H6" t="s">
        <v>16</v>
      </c>
      <c r="I6" t="s">
        <v>17</v>
      </c>
      <c r="J6">
        <v>1700000</v>
      </c>
      <c r="K6" s="1">
        <f>Sheet1!$G$5</f>
        <v>2.2229999999999998E-4</v>
      </c>
      <c r="L6" s="1">
        <f t="shared" si="0"/>
        <v>377.90999999999997</v>
      </c>
      <c r="M6" s="1">
        <f>Sheet1!$G$2</f>
        <v>1.2349999999999999E-4</v>
      </c>
      <c r="N6" s="1">
        <f t="shared" si="1"/>
        <v>209.95</v>
      </c>
      <c r="O6" s="1">
        <f>Sheet1!$G$3</f>
        <v>7.695E-4</v>
      </c>
      <c r="P6" s="1">
        <f t="shared" si="2"/>
        <v>1308.1500000000001</v>
      </c>
      <c r="Q6" s="1">
        <f>Sheet1!$G$4</f>
        <v>4.9399999999999997E-4</v>
      </c>
      <c r="R6" s="1">
        <f t="shared" si="3"/>
        <v>839.8</v>
      </c>
    </row>
    <row r="7" spans="1:18" x14ac:dyDescent="0.3">
      <c r="A7" s="1" t="s">
        <v>25</v>
      </c>
      <c r="B7" s="1" t="s">
        <v>166</v>
      </c>
      <c r="C7">
        <v>23.576688999999998</v>
      </c>
      <c r="D7">
        <v>90.508381999999997</v>
      </c>
      <c r="E7" t="s">
        <v>14</v>
      </c>
      <c r="G7" t="s">
        <v>15</v>
      </c>
      <c r="H7" t="s">
        <v>16</v>
      </c>
      <c r="I7" t="s">
        <v>17</v>
      </c>
      <c r="J7">
        <v>4620000</v>
      </c>
      <c r="K7" s="1">
        <f>Sheet1!$G$5</f>
        <v>2.2229999999999998E-4</v>
      </c>
      <c r="L7" s="1">
        <f t="shared" si="0"/>
        <v>1027.0259999999998</v>
      </c>
      <c r="M7" s="1">
        <f>Sheet1!$G$2</f>
        <v>1.2349999999999999E-4</v>
      </c>
      <c r="N7" s="1">
        <f t="shared" si="1"/>
        <v>570.56999999999994</v>
      </c>
      <c r="O7" s="1">
        <f>Sheet1!$G$3</f>
        <v>7.695E-4</v>
      </c>
      <c r="P7" s="1">
        <f t="shared" si="2"/>
        <v>3555.09</v>
      </c>
      <c r="Q7" s="1">
        <f>Sheet1!$G$4</f>
        <v>4.9399999999999997E-4</v>
      </c>
      <c r="R7" s="1">
        <f t="shared" si="3"/>
        <v>2282.2799999999997</v>
      </c>
    </row>
    <row r="8" spans="1:18" x14ac:dyDescent="0.3">
      <c r="A8" s="1" t="s">
        <v>26</v>
      </c>
      <c r="B8" s="1" t="s">
        <v>167</v>
      </c>
      <c r="C8">
        <v>22.517834000000001</v>
      </c>
      <c r="D8">
        <v>89.585595999999995</v>
      </c>
      <c r="E8" t="s">
        <v>14</v>
      </c>
      <c r="G8" t="s">
        <v>21</v>
      </c>
      <c r="H8" t="s">
        <v>16</v>
      </c>
      <c r="I8" t="s">
        <v>17</v>
      </c>
      <c r="K8" s="1">
        <f>Sheet1!$G$5</f>
        <v>2.2229999999999998E-4</v>
      </c>
      <c r="L8" s="1">
        <f t="shared" si="0"/>
        <v>0</v>
      </c>
      <c r="M8" s="1">
        <f>Sheet1!$G$2</f>
        <v>1.2349999999999999E-4</v>
      </c>
      <c r="N8" s="1">
        <f t="shared" si="1"/>
        <v>0</v>
      </c>
      <c r="O8" s="1">
        <f>Sheet1!$G$3</f>
        <v>7.695E-4</v>
      </c>
      <c r="P8" s="1">
        <f t="shared" si="2"/>
        <v>0</v>
      </c>
      <c r="Q8" s="1">
        <f>Sheet1!$G$4</f>
        <v>4.9399999999999997E-4</v>
      </c>
      <c r="R8" s="1">
        <f t="shared" si="3"/>
        <v>0</v>
      </c>
    </row>
    <row r="9" spans="1:18" x14ac:dyDescent="0.3">
      <c r="A9" s="1" t="s">
        <v>27</v>
      </c>
      <c r="B9" s="1" t="s">
        <v>168</v>
      </c>
      <c r="C9">
        <v>23.568501000000001</v>
      </c>
      <c r="D9">
        <v>90.520326999999995</v>
      </c>
      <c r="E9" t="s">
        <v>14</v>
      </c>
      <c r="G9" t="s">
        <v>15</v>
      </c>
      <c r="H9" t="s">
        <v>16</v>
      </c>
      <c r="I9" t="s">
        <v>17</v>
      </c>
      <c r="J9">
        <v>700000</v>
      </c>
      <c r="K9" s="1">
        <f>Sheet1!$G$5</f>
        <v>2.2229999999999998E-4</v>
      </c>
      <c r="L9" s="1">
        <f t="shared" si="0"/>
        <v>155.60999999999999</v>
      </c>
      <c r="M9" s="1">
        <f>Sheet1!$G$2</f>
        <v>1.2349999999999999E-4</v>
      </c>
      <c r="N9" s="1">
        <f t="shared" si="1"/>
        <v>86.449999999999989</v>
      </c>
      <c r="O9" s="1">
        <f>Sheet1!$G$3</f>
        <v>7.695E-4</v>
      </c>
      <c r="P9" s="1">
        <f t="shared" si="2"/>
        <v>538.65</v>
      </c>
      <c r="Q9" s="1">
        <f>Sheet1!$G$4</f>
        <v>4.9399999999999997E-4</v>
      </c>
      <c r="R9" s="1">
        <f t="shared" si="3"/>
        <v>345.79999999999995</v>
      </c>
    </row>
    <row r="10" spans="1:18" x14ac:dyDescent="0.3">
      <c r="A10" s="1" t="s">
        <v>28</v>
      </c>
      <c r="B10" s="1" t="s">
        <v>169</v>
      </c>
      <c r="C10">
        <v>22.503883999999999</v>
      </c>
      <c r="D10">
        <v>89.590301999999994</v>
      </c>
      <c r="E10" t="s">
        <v>14</v>
      </c>
      <c r="G10" t="s">
        <v>21</v>
      </c>
      <c r="H10" t="s">
        <v>16</v>
      </c>
      <c r="I10" t="s">
        <v>17</v>
      </c>
      <c r="K10" s="1">
        <f>Sheet1!$G$5</f>
        <v>2.2229999999999998E-4</v>
      </c>
      <c r="L10" s="1">
        <f t="shared" si="0"/>
        <v>0</v>
      </c>
      <c r="M10" s="1">
        <f>Sheet1!$G$2</f>
        <v>1.2349999999999999E-4</v>
      </c>
      <c r="N10" s="1">
        <f t="shared" si="1"/>
        <v>0</v>
      </c>
      <c r="O10" s="1">
        <f>Sheet1!$G$3</f>
        <v>7.695E-4</v>
      </c>
      <c r="P10" s="1">
        <f t="shared" si="2"/>
        <v>0</v>
      </c>
      <c r="Q10" s="1">
        <f>Sheet1!$G$4</f>
        <v>4.9399999999999997E-4</v>
      </c>
      <c r="R10" s="1">
        <f t="shared" si="3"/>
        <v>0</v>
      </c>
    </row>
    <row r="11" spans="1:18" x14ac:dyDescent="0.3">
      <c r="A11" s="1" t="s">
        <v>29</v>
      </c>
      <c r="B11" s="1" t="s">
        <v>170</v>
      </c>
      <c r="C11">
        <v>22.652466</v>
      </c>
      <c r="D11">
        <v>90.345292999999998</v>
      </c>
      <c r="E11" t="s">
        <v>14</v>
      </c>
      <c r="G11" t="s">
        <v>31</v>
      </c>
      <c r="H11" t="s">
        <v>16</v>
      </c>
      <c r="I11" t="s">
        <v>17</v>
      </c>
      <c r="J11">
        <v>1460000</v>
      </c>
      <c r="K11" s="1">
        <f>Sheet1!$G$5</f>
        <v>2.2229999999999998E-4</v>
      </c>
      <c r="L11" s="1">
        <f t="shared" si="0"/>
        <v>324.55799999999999</v>
      </c>
      <c r="M11" s="1">
        <f>Sheet1!$G$2</f>
        <v>1.2349999999999999E-4</v>
      </c>
      <c r="N11" s="1">
        <f t="shared" si="1"/>
        <v>180.31</v>
      </c>
      <c r="O11" s="1">
        <f>Sheet1!$G$3</f>
        <v>7.695E-4</v>
      </c>
      <c r="P11" s="1">
        <f t="shared" si="2"/>
        <v>1123.47</v>
      </c>
      <c r="Q11" s="1">
        <f>Sheet1!$G$4</f>
        <v>4.9399999999999997E-4</v>
      </c>
      <c r="R11" s="1">
        <f t="shared" si="3"/>
        <v>721.24</v>
      </c>
    </row>
    <row r="12" spans="1:18" x14ac:dyDescent="0.3">
      <c r="A12" s="1" t="s">
        <v>30</v>
      </c>
      <c r="B12" s="1" t="s">
        <v>171</v>
      </c>
      <c r="C12">
        <v>23.568618000000001</v>
      </c>
      <c r="D12">
        <v>90.524404000000004</v>
      </c>
      <c r="E12" t="s">
        <v>14</v>
      </c>
      <c r="G12" t="s">
        <v>15</v>
      </c>
      <c r="H12" t="s">
        <v>16</v>
      </c>
      <c r="I12" t="s">
        <v>17</v>
      </c>
      <c r="J12">
        <v>1860000</v>
      </c>
      <c r="K12" s="1">
        <f>Sheet1!$G$5</f>
        <v>2.2229999999999998E-4</v>
      </c>
      <c r="L12" s="1">
        <f t="shared" si="0"/>
        <v>413.47799999999995</v>
      </c>
      <c r="M12" s="1">
        <f>Sheet1!$G$2</f>
        <v>1.2349999999999999E-4</v>
      </c>
      <c r="N12" s="1">
        <f t="shared" si="1"/>
        <v>229.70999999999998</v>
      </c>
      <c r="O12" s="1">
        <f>Sheet1!$G$3</f>
        <v>7.695E-4</v>
      </c>
      <c r="P12" s="1">
        <f t="shared" si="2"/>
        <v>1431.27</v>
      </c>
      <c r="Q12" s="1">
        <f>Sheet1!$G$4</f>
        <v>4.9399999999999997E-4</v>
      </c>
      <c r="R12" s="1">
        <f t="shared" si="3"/>
        <v>918.83999999999992</v>
      </c>
    </row>
    <row r="13" spans="1:18" x14ac:dyDescent="0.3">
      <c r="A13" s="1" t="s">
        <v>32</v>
      </c>
      <c r="B13" s="1" t="s">
        <v>172</v>
      </c>
      <c r="C13">
        <v>23.578555000000001</v>
      </c>
      <c r="D13">
        <v>90.513202000000007</v>
      </c>
      <c r="E13" t="s">
        <v>14</v>
      </c>
      <c r="G13" t="s">
        <v>15</v>
      </c>
      <c r="H13" t="s">
        <v>16</v>
      </c>
      <c r="I13" t="s">
        <v>17</v>
      </c>
      <c r="J13">
        <v>2400000</v>
      </c>
      <c r="K13" s="1">
        <f>Sheet1!$G$5</f>
        <v>2.2229999999999998E-4</v>
      </c>
      <c r="L13" s="1">
        <f t="shared" si="0"/>
        <v>533.52</v>
      </c>
      <c r="M13" s="1">
        <f>Sheet1!$G$2</f>
        <v>1.2349999999999999E-4</v>
      </c>
      <c r="N13" s="1">
        <f t="shared" si="1"/>
        <v>296.39999999999998</v>
      </c>
      <c r="O13" s="1">
        <f>Sheet1!$G$3</f>
        <v>7.695E-4</v>
      </c>
      <c r="P13" s="1">
        <f t="shared" si="2"/>
        <v>1846.8</v>
      </c>
      <c r="Q13" s="1">
        <f>Sheet1!$G$4</f>
        <v>4.9399999999999997E-4</v>
      </c>
      <c r="R13" s="1">
        <f t="shared" si="3"/>
        <v>1185.5999999999999</v>
      </c>
    </row>
    <row r="14" spans="1:18" x14ac:dyDescent="0.3">
      <c r="A14" s="1" t="s">
        <v>33</v>
      </c>
      <c r="B14" s="1" t="s">
        <v>173</v>
      </c>
      <c r="C14">
        <v>23.602160999999999</v>
      </c>
      <c r="D14">
        <v>90.624684999999999</v>
      </c>
      <c r="E14" t="s">
        <v>14</v>
      </c>
      <c r="G14" t="s">
        <v>15</v>
      </c>
      <c r="H14" t="s">
        <v>16</v>
      </c>
      <c r="I14" t="s">
        <v>17</v>
      </c>
      <c r="J14">
        <v>700000</v>
      </c>
      <c r="K14" s="1">
        <f>Sheet1!$G$5</f>
        <v>2.2229999999999998E-4</v>
      </c>
      <c r="L14" s="1">
        <f t="shared" si="0"/>
        <v>155.60999999999999</v>
      </c>
      <c r="M14" s="1">
        <f>Sheet1!$G$2</f>
        <v>1.2349999999999999E-4</v>
      </c>
      <c r="N14" s="1">
        <f t="shared" si="1"/>
        <v>86.449999999999989</v>
      </c>
      <c r="O14" s="1">
        <f>Sheet1!$G$3</f>
        <v>7.695E-4</v>
      </c>
      <c r="P14" s="1">
        <f t="shared" si="2"/>
        <v>538.65</v>
      </c>
      <c r="Q14" s="1">
        <f>Sheet1!$G$4</f>
        <v>4.9399999999999997E-4</v>
      </c>
      <c r="R14" s="1">
        <f t="shared" si="3"/>
        <v>345.79999999999995</v>
      </c>
    </row>
    <row r="15" spans="1:18" x14ac:dyDescent="0.3">
      <c r="A15" s="1" t="s">
        <v>34</v>
      </c>
      <c r="B15" s="1" t="s">
        <v>174</v>
      </c>
      <c r="C15">
        <v>23.609231999999999</v>
      </c>
      <c r="D15">
        <v>90.610010000000003</v>
      </c>
      <c r="E15" t="s">
        <v>14</v>
      </c>
      <c r="G15" t="s">
        <v>15</v>
      </c>
      <c r="H15" t="s">
        <v>16</v>
      </c>
      <c r="I15" t="s">
        <v>17</v>
      </c>
      <c r="K15" s="1">
        <f>Sheet1!$G$5</f>
        <v>2.2229999999999998E-4</v>
      </c>
      <c r="L15" s="1">
        <f t="shared" si="0"/>
        <v>0</v>
      </c>
      <c r="M15" s="1">
        <f>Sheet1!$G$2</f>
        <v>1.2349999999999999E-4</v>
      </c>
      <c r="N15" s="1">
        <f t="shared" si="1"/>
        <v>0</v>
      </c>
      <c r="O15" s="1">
        <f>Sheet1!$G$3</f>
        <v>7.695E-4</v>
      </c>
      <c r="P15" s="1">
        <f t="shared" si="2"/>
        <v>0</v>
      </c>
      <c r="Q15" s="1">
        <f>Sheet1!$G$4</f>
        <v>4.9399999999999997E-4</v>
      </c>
      <c r="R15" s="1">
        <f t="shared" si="3"/>
        <v>0</v>
      </c>
    </row>
    <row r="16" spans="1:18" x14ac:dyDescent="0.3">
      <c r="A16" s="1" t="s">
        <v>35</v>
      </c>
      <c r="B16" s="1" t="s">
        <v>175</v>
      </c>
      <c r="C16">
        <v>24.127959000000001</v>
      </c>
      <c r="D16">
        <v>89.586911000000001</v>
      </c>
      <c r="E16" t="s">
        <v>14</v>
      </c>
      <c r="G16" t="s">
        <v>38</v>
      </c>
      <c r="H16" t="s">
        <v>16</v>
      </c>
      <c r="I16" t="s">
        <v>17</v>
      </c>
      <c r="K16" s="1">
        <f>Sheet1!$G$5</f>
        <v>2.2229999999999998E-4</v>
      </c>
      <c r="L16" s="1">
        <f t="shared" si="0"/>
        <v>0</v>
      </c>
      <c r="M16" s="1">
        <f>Sheet1!$G$2</f>
        <v>1.2349999999999999E-4</v>
      </c>
      <c r="N16" s="1">
        <f t="shared" si="1"/>
        <v>0</v>
      </c>
      <c r="O16" s="1">
        <f>Sheet1!$G$3</f>
        <v>7.695E-4</v>
      </c>
      <c r="P16" s="1">
        <f t="shared" si="2"/>
        <v>0</v>
      </c>
      <c r="Q16" s="1">
        <f>Sheet1!$G$4</f>
        <v>4.9399999999999997E-4</v>
      </c>
      <c r="R16" s="1">
        <f t="shared" si="3"/>
        <v>0</v>
      </c>
    </row>
    <row r="17" spans="1:18" x14ac:dyDescent="0.3">
      <c r="A17" s="1" t="s">
        <v>36</v>
      </c>
      <c r="B17" s="1" t="s">
        <v>176</v>
      </c>
      <c r="C17">
        <v>24.290893000000001</v>
      </c>
      <c r="D17">
        <v>89.566546000000002</v>
      </c>
      <c r="E17" t="s">
        <v>14</v>
      </c>
      <c r="G17" t="s">
        <v>38</v>
      </c>
      <c r="H17" t="s">
        <v>16</v>
      </c>
      <c r="I17" t="s">
        <v>17</v>
      </c>
      <c r="J17">
        <v>750000</v>
      </c>
      <c r="K17" s="1">
        <f>Sheet1!$G$5</f>
        <v>2.2229999999999998E-4</v>
      </c>
      <c r="L17" s="1">
        <f t="shared" si="0"/>
        <v>166.72499999999999</v>
      </c>
      <c r="M17" s="1">
        <f>Sheet1!$G$2</f>
        <v>1.2349999999999999E-4</v>
      </c>
      <c r="N17" s="1">
        <f t="shared" si="1"/>
        <v>92.625</v>
      </c>
      <c r="O17" s="1">
        <f>Sheet1!$G$3</f>
        <v>7.695E-4</v>
      </c>
      <c r="P17" s="1">
        <f t="shared" si="2"/>
        <v>577.125</v>
      </c>
      <c r="Q17" s="1">
        <f>Sheet1!$G$4</f>
        <v>4.9399999999999997E-4</v>
      </c>
      <c r="R17" s="1">
        <f t="shared" si="3"/>
        <v>370.5</v>
      </c>
    </row>
    <row r="18" spans="1:18" x14ac:dyDescent="0.3">
      <c r="A18" s="1" t="s">
        <v>37</v>
      </c>
      <c r="B18" s="1" t="s">
        <v>177</v>
      </c>
      <c r="C18">
        <v>22.317574</v>
      </c>
      <c r="D18">
        <v>91.867925</v>
      </c>
      <c r="E18" t="s">
        <v>14</v>
      </c>
      <c r="G18" t="s">
        <v>178</v>
      </c>
      <c r="H18" t="s">
        <v>16</v>
      </c>
      <c r="I18" t="s">
        <v>17</v>
      </c>
      <c r="J18">
        <v>3450000</v>
      </c>
      <c r="K18" s="1">
        <f>Sheet1!$G$5</f>
        <v>2.2229999999999998E-4</v>
      </c>
      <c r="L18" s="1">
        <f t="shared" si="0"/>
        <v>766.93499999999995</v>
      </c>
      <c r="M18" s="1">
        <f>Sheet1!$G$2</f>
        <v>1.2349999999999999E-4</v>
      </c>
      <c r="N18" s="1">
        <f t="shared" si="1"/>
        <v>426.07499999999999</v>
      </c>
      <c r="O18" s="1">
        <f>Sheet1!$G$3</f>
        <v>7.695E-4</v>
      </c>
      <c r="P18" s="1">
        <f t="shared" si="2"/>
        <v>2654.7750000000001</v>
      </c>
      <c r="Q18" s="1">
        <f>Sheet1!$G$4</f>
        <v>4.9399999999999997E-4</v>
      </c>
      <c r="R18" s="1">
        <f t="shared" si="3"/>
        <v>1704.3</v>
      </c>
    </row>
    <row r="19" spans="1:18" x14ac:dyDescent="0.3">
      <c r="A19" s="1" t="s">
        <v>39</v>
      </c>
      <c r="B19" s="1" t="s">
        <v>179</v>
      </c>
      <c r="C19">
        <v>23.934080999999999</v>
      </c>
      <c r="D19">
        <v>90.613084999999998</v>
      </c>
      <c r="E19" t="s">
        <v>14</v>
      </c>
      <c r="G19" t="s">
        <v>15</v>
      </c>
      <c r="H19" t="s">
        <v>16</v>
      </c>
      <c r="I19" t="s">
        <v>17</v>
      </c>
      <c r="J19">
        <v>3450000</v>
      </c>
      <c r="K19" s="1">
        <f>Sheet1!$G$5</f>
        <v>2.2229999999999998E-4</v>
      </c>
      <c r="L19" s="1">
        <f t="shared" si="0"/>
        <v>766.93499999999995</v>
      </c>
      <c r="M19" s="1">
        <f>Sheet1!$G$2</f>
        <v>1.2349999999999999E-4</v>
      </c>
      <c r="N19" s="1">
        <f t="shared" si="1"/>
        <v>426.07499999999999</v>
      </c>
      <c r="O19" s="1">
        <f>Sheet1!$G$3</f>
        <v>7.695E-4</v>
      </c>
      <c r="P19" s="1">
        <f t="shared" si="2"/>
        <v>2654.7750000000001</v>
      </c>
      <c r="Q19" s="1">
        <f>Sheet1!$G$4</f>
        <v>4.9399999999999997E-4</v>
      </c>
      <c r="R19" s="1">
        <f t="shared" si="3"/>
        <v>1704.3</v>
      </c>
    </row>
    <row r="20" spans="1:18" x14ac:dyDescent="0.3">
      <c r="A20" s="1" t="s">
        <v>180</v>
      </c>
      <c r="B20" s="1" t="s">
        <v>181</v>
      </c>
      <c r="C20">
        <v>22.2789727683023</v>
      </c>
      <c r="D20">
        <v>91.785256922592396</v>
      </c>
      <c r="E20" t="s">
        <v>14</v>
      </c>
      <c r="G20" t="s">
        <v>178</v>
      </c>
      <c r="H20" t="s">
        <v>16</v>
      </c>
      <c r="I20" t="s">
        <v>17</v>
      </c>
      <c r="J20">
        <v>1300000</v>
      </c>
      <c r="K20" s="1">
        <f>Sheet1!$G$5</f>
        <v>2.2229999999999998E-4</v>
      </c>
      <c r="L20" s="1">
        <f t="shared" si="0"/>
        <v>288.98999999999995</v>
      </c>
      <c r="M20" s="1">
        <f>Sheet1!$G$2</f>
        <v>1.2349999999999999E-4</v>
      </c>
      <c r="N20" s="1">
        <f t="shared" si="1"/>
        <v>160.54999999999998</v>
      </c>
      <c r="O20" s="1">
        <f>Sheet1!$G$3</f>
        <v>7.695E-4</v>
      </c>
      <c r="P20" s="1">
        <f t="shared" si="2"/>
        <v>1000.35</v>
      </c>
      <c r="Q20" s="1">
        <f>Sheet1!$G$4</f>
        <v>4.9399999999999997E-4</v>
      </c>
      <c r="R20" s="1">
        <f t="shared" si="3"/>
        <v>642.19999999999993</v>
      </c>
    </row>
    <row r="21" spans="1:18" x14ac:dyDescent="0.3">
      <c r="A21" s="1" t="s">
        <v>182</v>
      </c>
      <c r="B21" s="1" t="s">
        <v>183</v>
      </c>
      <c r="C21">
        <v>23.568660643521699</v>
      </c>
      <c r="D21">
        <v>90.520631857086101</v>
      </c>
      <c r="E21" t="s">
        <v>14</v>
      </c>
      <c r="G21" t="s">
        <v>15</v>
      </c>
      <c r="H21" t="s">
        <v>16</v>
      </c>
      <c r="I21" t="s">
        <v>17</v>
      </c>
      <c r="J21">
        <v>600000</v>
      </c>
      <c r="K21" s="1">
        <f>Sheet1!$G$5</f>
        <v>2.2229999999999998E-4</v>
      </c>
      <c r="L21" s="1">
        <f t="shared" si="0"/>
        <v>133.38</v>
      </c>
      <c r="M21" s="1">
        <f>Sheet1!$G$2</f>
        <v>1.2349999999999999E-4</v>
      </c>
      <c r="N21" s="1">
        <f t="shared" si="1"/>
        <v>74.099999999999994</v>
      </c>
      <c r="O21" s="1">
        <f>Sheet1!$G$3</f>
        <v>7.695E-4</v>
      </c>
      <c r="P21" s="1">
        <f t="shared" si="2"/>
        <v>461.7</v>
      </c>
      <c r="Q21" s="1">
        <f>Sheet1!$G$4</f>
        <v>4.9399999999999997E-4</v>
      </c>
      <c r="R21" s="1">
        <f t="shared" si="3"/>
        <v>296.39999999999998</v>
      </c>
    </row>
    <row r="22" spans="1:18" x14ac:dyDescent="0.3">
      <c r="A22" t="s">
        <v>43</v>
      </c>
      <c r="B22" t="s">
        <v>44</v>
      </c>
      <c r="C22">
        <v>26.404843</v>
      </c>
      <c r="D22">
        <v>81.130322000000007</v>
      </c>
      <c r="E22" t="s">
        <v>14</v>
      </c>
      <c r="G22" t="s">
        <v>40</v>
      </c>
      <c r="H22" t="s">
        <v>41</v>
      </c>
      <c r="I22" t="s">
        <v>17</v>
      </c>
      <c r="J22">
        <f>2*1000000</f>
        <v>2000000</v>
      </c>
      <c r="K22" s="1">
        <f>Sheet1!$G$5</f>
        <v>2.2229999999999998E-4</v>
      </c>
      <c r="L22" s="1">
        <f t="shared" si="0"/>
        <v>444.59999999999997</v>
      </c>
      <c r="M22" s="1">
        <f>Sheet1!$G$2</f>
        <v>1.2349999999999999E-4</v>
      </c>
      <c r="N22" s="1">
        <f t="shared" si="1"/>
        <v>247</v>
      </c>
      <c r="O22" s="1">
        <f>Sheet1!$G$3</f>
        <v>7.695E-4</v>
      </c>
      <c r="P22" s="1">
        <f t="shared" si="2"/>
        <v>1539</v>
      </c>
      <c r="Q22" s="1">
        <f>Sheet1!$G$4</f>
        <v>4.9399999999999997E-4</v>
      </c>
      <c r="R22" s="1">
        <f t="shared" si="3"/>
        <v>988</v>
      </c>
    </row>
    <row r="23" spans="1:18" x14ac:dyDescent="0.3">
      <c r="A23" t="s">
        <v>45</v>
      </c>
      <c r="B23" t="s">
        <v>46</v>
      </c>
      <c r="C23">
        <v>26.190591999999999</v>
      </c>
      <c r="D23">
        <v>81.706282999999999</v>
      </c>
      <c r="E23" t="s">
        <v>14</v>
      </c>
      <c r="G23" t="s">
        <v>40</v>
      </c>
      <c r="H23" t="s">
        <v>41</v>
      </c>
      <c r="I23" t="s">
        <v>17</v>
      </c>
      <c r="J23">
        <v>0</v>
      </c>
      <c r="K23" s="1">
        <f>Sheet1!$G$5</f>
        <v>2.2229999999999998E-4</v>
      </c>
      <c r="L23" s="1">
        <f t="shared" si="0"/>
        <v>0</v>
      </c>
      <c r="M23" s="1">
        <f>Sheet1!$G$2</f>
        <v>1.2349999999999999E-4</v>
      </c>
      <c r="N23" s="1">
        <f t="shared" si="1"/>
        <v>0</v>
      </c>
      <c r="O23" s="1">
        <f>Sheet1!$G$3</f>
        <v>7.695E-4</v>
      </c>
      <c r="P23" s="1">
        <f t="shared" si="2"/>
        <v>0</v>
      </c>
      <c r="Q23" s="1">
        <f>Sheet1!$G$4</f>
        <v>4.9399999999999997E-4</v>
      </c>
      <c r="R23" s="1">
        <f t="shared" si="3"/>
        <v>0</v>
      </c>
    </row>
    <row r="24" spans="1:18" x14ac:dyDescent="0.3">
      <c r="A24" t="s">
        <v>47</v>
      </c>
      <c r="B24" t="s">
        <v>48</v>
      </c>
      <c r="C24">
        <v>30.233637999999999</v>
      </c>
      <c r="D24">
        <v>74.912212999999994</v>
      </c>
      <c r="E24" t="s">
        <v>14</v>
      </c>
      <c r="G24" t="s">
        <v>49</v>
      </c>
      <c r="H24" t="s">
        <v>41</v>
      </c>
      <c r="I24" t="s">
        <v>17</v>
      </c>
      <c r="J24">
        <v>0</v>
      </c>
      <c r="K24" s="1">
        <f>Sheet1!$G$5</f>
        <v>2.2229999999999998E-4</v>
      </c>
      <c r="L24" s="1">
        <f t="shared" si="0"/>
        <v>0</v>
      </c>
      <c r="M24" s="1">
        <f>Sheet1!$G$2</f>
        <v>1.2349999999999999E-4</v>
      </c>
      <c r="N24" s="1">
        <f t="shared" si="1"/>
        <v>0</v>
      </c>
      <c r="O24" s="1">
        <f>Sheet1!$G$3</f>
        <v>7.695E-4</v>
      </c>
      <c r="P24" s="1">
        <f t="shared" si="2"/>
        <v>0</v>
      </c>
      <c r="Q24" s="1">
        <f>Sheet1!$G$4</f>
        <v>4.9399999999999997E-4</v>
      </c>
      <c r="R24" s="1">
        <f t="shared" si="3"/>
        <v>0</v>
      </c>
    </row>
    <row r="25" spans="1:18" x14ac:dyDescent="0.3">
      <c r="A25" t="s">
        <v>50</v>
      </c>
      <c r="B25" t="s">
        <v>48</v>
      </c>
      <c r="C25">
        <v>28.570512000000001</v>
      </c>
      <c r="D25">
        <v>77.546555999999995</v>
      </c>
      <c r="E25" t="s">
        <v>14</v>
      </c>
      <c r="G25" t="s">
        <v>40</v>
      </c>
      <c r="H25" t="s">
        <v>41</v>
      </c>
      <c r="I25" t="s">
        <v>17</v>
      </c>
      <c r="J25">
        <v>0</v>
      </c>
      <c r="K25" s="1">
        <f>Sheet1!$G$5</f>
        <v>2.2229999999999998E-4</v>
      </c>
      <c r="L25" s="1">
        <f t="shared" si="0"/>
        <v>0</v>
      </c>
      <c r="M25" s="1">
        <f>Sheet1!$G$2</f>
        <v>1.2349999999999999E-4</v>
      </c>
      <c r="N25" s="1">
        <f t="shared" si="1"/>
        <v>0</v>
      </c>
      <c r="O25" s="1">
        <f>Sheet1!$G$3</f>
        <v>7.695E-4</v>
      </c>
      <c r="P25" s="1">
        <f t="shared" si="2"/>
        <v>0</v>
      </c>
      <c r="Q25" s="1">
        <f>Sheet1!$G$4</f>
        <v>4.9399999999999997E-4</v>
      </c>
      <c r="R25" s="1">
        <f t="shared" si="3"/>
        <v>0</v>
      </c>
    </row>
    <row r="26" spans="1:18" x14ac:dyDescent="0.3">
      <c r="A26" t="s">
        <v>51</v>
      </c>
      <c r="B26" t="s">
        <v>48</v>
      </c>
      <c r="C26">
        <v>22.569254000000001</v>
      </c>
      <c r="D26">
        <v>88.194227999999995</v>
      </c>
      <c r="E26" t="s">
        <v>14</v>
      </c>
      <c r="G26" t="s">
        <v>42</v>
      </c>
      <c r="H26" t="s">
        <v>41</v>
      </c>
      <c r="I26" t="s">
        <v>17</v>
      </c>
      <c r="J26">
        <v>0</v>
      </c>
      <c r="K26" s="1">
        <f>Sheet1!$G$5</f>
        <v>2.2229999999999998E-4</v>
      </c>
      <c r="L26" s="1">
        <f t="shared" si="0"/>
        <v>0</v>
      </c>
      <c r="M26" s="1">
        <f>Sheet1!$G$2</f>
        <v>1.2349999999999999E-4</v>
      </c>
      <c r="N26" s="1">
        <f t="shared" si="1"/>
        <v>0</v>
      </c>
      <c r="O26" s="1">
        <f>Sheet1!$G$3</f>
        <v>7.695E-4</v>
      </c>
      <c r="P26" s="1">
        <f t="shared" si="2"/>
        <v>0</v>
      </c>
      <c r="Q26" s="1">
        <f>Sheet1!$G$4</f>
        <v>4.9399999999999997E-4</v>
      </c>
      <c r="R26" s="1">
        <f t="shared" si="3"/>
        <v>0</v>
      </c>
    </row>
    <row r="27" spans="1:18" x14ac:dyDescent="0.3">
      <c r="A27" t="s">
        <v>52</v>
      </c>
      <c r="B27" t="s">
        <v>48</v>
      </c>
      <c r="C27">
        <v>29.967486999999998</v>
      </c>
      <c r="D27">
        <v>77.769868000000002</v>
      </c>
      <c r="E27" t="s">
        <v>14</v>
      </c>
      <c r="G27" t="s">
        <v>53</v>
      </c>
      <c r="H27" t="s">
        <v>41</v>
      </c>
      <c r="I27" t="s">
        <v>17</v>
      </c>
      <c r="J27">
        <v>0</v>
      </c>
      <c r="K27" s="1">
        <f>Sheet1!$G$5</f>
        <v>2.2229999999999998E-4</v>
      </c>
      <c r="L27" s="1">
        <f t="shared" si="0"/>
        <v>0</v>
      </c>
      <c r="M27" s="1">
        <f>Sheet1!$G$2</f>
        <v>1.2349999999999999E-4</v>
      </c>
      <c r="N27" s="1">
        <f t="shared" si="1"/>
        <v>0</v>
      </c>
      <c r="O27" s="1">
        <f>Sheet1!$G$3</f>
        <v>7.695E-4</v>
      </c>
      <c r="P27" s="1">
        <f t="shared" si="2"/>
        <v>0</v>
      </c>
      <c r="Q27" s="1">
        <f>Sheet1!$G$4</f>
        <v>4.9399999999999997E-4</v>
      </c>
      <c r="R27" s="1">
        <f t="shared" si="3"/>
        <v>0</v>
      </c>
    </row>
    <row r="28" spans="1:18" x14ac:dyDescent="0.3">
      <c r="A28" t="s">
        <v>54</v>
      </c>
      <c r="B28" t="s">
        <v>48</v>
      </c>
      <c r="C28">
        <v>24.775292</v>
      </c>
      <c r="D28">
        <v>87.886449999999996</v>
      </c>
      <c r="E28" t="s">
        <v>14</v>
      </c>
      <c r="G28" t="s">
        <v>42</v>
      </c>
      <c r="H28" t="s">
        <v>41</v>
      </c>
      <c r="I28" t="s">
        <v>17</v>
      </c>
      <c r="J28">
        <v>0</v>
      </c>
      <c r="K28" s="1">
        <f>Sheet1!$G$5</f>
        <v>2.2229999999999998E-4</v>
      </c>
      <c r="L28" s="1">
        <f t="shared" si="0"/>
        <v>0</v>
      </c>
      <c r="M28" s="1">
        <f>Sheet1!$G$2</f>
        <v>1.2349999999999999E-4</v>
      </c>
      <c r="N28" s="1">
        <f t="shared" si="1"/>
        <v>0</v>
      </c>
      <c r="O28" s="1">
        <f>Sheet1!$G$3</f>
        <v>7.695E-4</v>
      </c>
      <c r="P28" s="1">
        <f t="shared" si="2"/>
        <v>0</v>
      </c>
      <c r="Q28" s="1">
        <f>Sheet1!$G$4</f>
        <v>4.9399999999999997E-4</v>
      </c>
      <c r="R28" s="1">
        <f t="shared" si="3"/>
        <v>0</v>
      </c>
    </row>
    <row r="29" spans="1:18" x14ac:dyDescent="0.3">
      <c r="A29" t="s">
        <v>55</v>
      </c>
      <c r="B29" t="s">
        <v>56</v>
      </c>
      <c r="C29">
        <v>24.388462000000001</v>
      </c>
      <c r="D29">
        <v>88.083236999999997</v>
      </c>
      <c r="E29" t="s">
        <v>14</v>
      </c>
      <c r="G29" t="s">
        <v>42</v>
      </c>
      <c r="H29" t="s">
        <v>41</v>
      </c>
      <c r="I29" t="s">
        <v>17</v>
      </c>
      <c r="J29">
        <f>2*1000000</f>
        <v>2000000</v>
      </c>
      <c r="K29" s="1">
        <f>Sheet1!$G$5</f>
        <v>2.2229999999999998E-4</v>
      </c>
      <c r="L29" s="1">
        <f t="shared" si="0"/>
        <v>444.59999999999997</v>
      </c>
      <c r="M29" s="1">
        <f>Sheet1!$G$2</f>
        <v>1.2349999999999999E-4</v>
      </c>
      <c r="N29" s="1">
        <f t="shared" si="1"/>
        <v>247</v>
      </c>
      <c r="O29" s="1">
        <f>Sheet1!$G$3</f>
        <v>7.695E-4</v>
      </c>
      <c r="P29" s="1">
        <f t="shared" si="2"/>
        <v>1539</v>
      </c>
      <c r="Q29" s="1">
        <f>Sheet1!$G$4</f>
        <v>4.9399999999999997E-4</v>
      </c>
      <c r="R29" s="1">
        <f t="shared" si="3"/>
        <v>988</v>
      </c>
    </row>
    <row r="30" spans="1:18" x14ac:dyDescent="0.3">
      <c r="A30" t="s">
        <v>57</v>
      </c>
      <c r="B30" t="s">
        <v>58</v>
      </c>
      <c r="C30">
        <v>23.439328</v>
      </c>
      <c r="D30">
        <v>87.511189999999999</v>
      </c>
      <c r="E30" t="s">
        <v>14</v>
      </c>
      <c r="G30" t="s">
        <v>42</v>
      </c>
      <c r="H30" t="s">
        <v>41</v>
      </c>
      <c r="I30" t="s">
        <v>17</v>
      </c>
      <c r="J30">
        <f>2.5*1000000</f>
        <v>2500000</v>
      </c>
      <c r="K30" s="1">
        <f>Sheet1!$G$5</f>
        <v>2.2229999999999998E-4</v>
      </c>
      <c r="L30" s="1">
        <f t="shared" si="0"/>
        <v>555.75</v>
      </c>
      <c r="M30" s="1">
        <f>Sheet1!$G$2</f>
        <v>1.2349999999999999E-4</v>
      </c>
      <c r="N30" s="1">
        <f t="shared" si="1"/>
        <v>308.75</v>
      </c>
      <c r="O30" s="1">
        <f>Sheet1!$G$3</f>
        <v>7.695E-4</v>
      </c>
      <c r="P30" s="1">
        <f t="shared" si="2"/>
        <v>1923.75</v>
      </c>
      <c r="Q30" s="1">
        <f>Sheet1!$G$4</f>
        <v>4.9399999999999997E-4</v>
      </c>
      <c r="R30" s="1">
        <f t="shared" si="3"/>
        <v>1235</v>
      </c>
    </row>
    <row r="31" spans="1:18" x14ac:dyDescent="0.3">
      <c r="A31" t="s">
        <v>59</v>
      </c>
      <c r="B31" t="s">
        <v>60</v>
      </c>
      <c r="C31">
        <v>23.461907</v>
      </c>
      <c r="D31">
        <v>87.120726000000005</v>
      </c>
      <c r="E31" t="s">
        <v>14</v>
      </c>
      <c r="G31" t="s">
        <v>42</v>
      </c>
      <c r="H31" t="s">
        <v>41</v>
      </c>
      <c r="I31" t="s">
        <v>17</v>
      </c>
      <c r="J31">
        <v>0</v>
      </c>
      <c r="K31" s="1">
        <f>Sheet1!$G$5</f>
        <v>2.2229999999999998E-4</v>
      </c>
      <c r="L31" s="1">
        <f t="shared" si="0"/>
        <v>0</v>
      </c>
      <c r="M31" s="1">
        <f>Sheet1!$G$2</f>
        <v>1.2349999999999999E-4</v>
      </c>
      <c r="N31" s="1">
        <f t="shared" si="1"/>
        <v>0</v>
      </c>
      <c r="O31" s="1">
        <f>Sheet1!$G$3</f>
        <v>7.695E-4</v>
      </c>
      <c r="P31" s="1">
        <f t="shared" si="2"/>
        <v>0</v>
      </c>
      <c r="Q31" s="1">
        <f>Sheet1!$G$4</f>
        <v>4.9399999999999997E-4</v>
      </c>
      <c r="R31" s="1">
        <f t="shared" si="3"/>
        <v>0</v>
      </c>
    </row>
    <row r="32" spans="1:18" x14ac:dyDescent="0.3">
      <c r="A32" t="s">
        <v>61</v>
      </c>
      <c r="B32" t="s">
        <v>62</v>
      </c>
      <c r="C32">
        <v>24.670567999999999</v>
      </c>
      <c r="D32">
        <v>83.989099999999993</v>
      </c>
      <c r="E32" t="s">
        <v>63</v>
      </c>
      <c r="G32" t="s">
        <v>64</v>
      </c>
      <c r="H32" t="s">
        <v>41</v>
      </c>
      <c r="I32" t="s">
        <v>17</v>
      </c>
      <c r="J32">
        <v>0</v>
      </c>
      <c r="K32" s="1">
        <f>Sheet1!$G$5</f>
        <v>2.2229999999999998E-4</v>
      </c>
      <c r="L32" s="1">
        <f t="shared" si="0"/>
        <v>0</v>
      </c>
      <c r="M32" s="1">
        <f>Sheet1!$G$2</f>
        <v>1.2349999999999999E-4</v>
      </c>
      <c r="N32" s="1">
        <f t="shared" si="1"/>
        <v>0</v>
      </c>
      <c r="O32" s="1">
        <f>Sheet1!$G$3</f>
        <v>7.695E-4</v>
      </c>
      <c r="P32" s="1">
        <f t="shared" si="2"/>
        <v>0</v>
      </c>
      <c r="Q32" s="1">
        <f>Sheet1!$G$4</f>
        <v>4.9399999999999997E-4</v>
      </c>
      <c r="R32" s="1">
        <f t="shared" si="3"/>
        <v>0</v>
      </c>
    </row>
    <row r="33" spans="1:18" x14ac:dyDescent="0.3">
      <c r="A33" t="s">
        <v>65</v>
      </c>
      <c r="B33" t="s">
        <v>60</v>
      </c>
      <c r="C33">
        <v>28.455175000000001</v>
      </c>
      <c r="D33">
        <v>76.273574999999994</v>
      </c>
      <c r="E33" t="s">
        <v>14</v>
      </c>
      <c r="G33" t="s">
        <v>66</v>
      </c>
      <c r="H33" t="s">
        <v>41</v>
      </c>
      <c r="I33" t="s">
        <v>17</v>
      </c>
      <c r="J33">
        <v>0</v>
      </c>
      <c r="K33" s="1">
        <f>Sheet1!$G$5</f>
        <v>2.2229999999999998E-4</v>
      </c>
      <c r="L33" s="1">
        <f t="shared" si="0"/>
        <v>0</v>
      </c>
      <c r="M33" s="1">
        <f>Sheet1!$G$2</f>
        <v>1.2349999999999999E-4</v>
      </c>
      <c r="N33" s="1">
        <f t="shared" si="1"/>
        <v>0</v>
      </c>
      <c r="O33" s="1">
        <f>Sheet1!$G$3</f>
        <v>7.695E-4</v>
      </c>
      <c r="P33" s="1">
        <f t="shared" si="2"/>
        <v>0</v>
      </c>
      <c r="Q33" s="1">
        <f>Sheet1!$G$4</f>
        <v>4.9399999999999997E-4</v>
      </c>
      <c r="R33" s="1">
        <f t="shared" si="3"/>
        <v>0</v>
      </c>
    </row>
    <row r="34" spans="1:18" x14ac:dyDescent="0.3">
      <c r="A34" t="s">
        <v>67</v>
      </c>
      <c r="B34" t="s">
        <v>58</v>
      </c>
      <c r="C34">
        <v>25.223534000000001</v>
      </c>
      <c r="D34">
        <v>83.461624999999998</v>
      </c>
      <c r="E34" t="s">
        <v>14</v>
      </c>
      <c r="G34" t="s">
        <v>64</v>
      </c>
      <c r="H34" t="s">
        <v>41</v>
      </c>
      <c r="I34" t="s">
        <v>17</v>
      </c>
      <c r="J34">
        <f>0.8*1000000</f>
        <v>800000</v>
      </c>
      <c r="K34" s="1">
        <f>Sheet1!$G$5</f>
        <v>2.2229999999999998E-4</v>
      </c>
      <c r="L34" s="1">
        <f t="shared" si="0"/>
        <v>177.83999999999997</v>
      </c>
      <c r="M34" s="1">
        <f>Sheet1!$G$2</f>
        <v>1.2349999999999999E-4</v>
      </c>
      <c r="N34" s="1">
        <f t="shared" si="1"/>
        <v>98.8</v>
      </c>
      <c r="O34" s="1">
        <f>Sheet1!$G$3</f>
        <v>7.695E-4</v>
      </c>
      <c r="P34" s="1">
        <f t="shared" si="2"/>
        <v>615.6</v>
      </c>
      <c r="Q34" s="1">
        <f>Sheet1!$G$4</f>
        <v>4.9399999999999997E-4</v>
      </c>
      <c r="R34" s="1">
        <f t="shared" si="3"/>
        <v>395.2</v>
      </c>
    </row>
    <row r="35" spans="1:18" x14ac:dyDescent="0.3">
      <c r="A35" t="s">
        <v>68</v>
      </c>
      <c r="B35" t="s">
        <v>69</v>
      </c>
      <c r="C35">
        <v>22.528773999999999</v>
      </c>
      <c r="D35">
        <v>87.313274000000007</v>
      </c>
      <c r="E35" t="s">
        <v>14</v>
      </c>
      <c r="G35" t="s">
        <v>42</v>
      </c>
      <c r="H35" t="s">
        <v>41</v>
      </c>
      <c r="I35" t="s">
        <v>17</v>
      </c>
      <c r="J35">
        <v>0</v>
      </c>
      <c r="K35" s="1">
        <f>Sheet1!$G$5</f>
        <v>2.2229999999999998E-4</v>
      </c>
      <c r="L35" s="1">
        <f t="shared" si="0"/>
        <v>0</v>
      </c>
      <c r="M35" s="1">
        <f>Sheet1!$G$2</f>
        <v>1.2349999999999999E-4</v>
      </c>
      <c r="N35" s="1">
        <f t="shared" si="1"/>
        <v>0</v>
      </c>
      <c r="O35" s="1">
        <f>Sheet1!$G$3</f>
        <v>7.695E-4</v>
      </c>
      <c r="P35" s="1">
        <f t="shared" si="2"/>
        <v>0</v>
      </c>
      <c r="Q35" s="1">
        <f>Sheet1!$G$4</f>
        <v>4.9399999999999997E-4</v>
      </c>
      <c r="R35" s="1">
        <f t="shared" si="3"/>
        <v>0</v>
      </c>
    </row>
    <row r="36" spans="1:18" x14ac:dyDescent="0.3">
      <c r="A36" t="s">
        <v>70</v>
      </c>
      <c r="B36" t="s">
        <v>71</v>
      </c>
      <c r="C36">
        <v>22.423362000000001</v>
      </c>
      <c r="D36">
        <v>87.862852000000004</v>
      </c>
      <c r="E36" t="s">
        <v>14</v>
      </c>
      <c r="G36" t="s">
        <v>42</v>
      </c>
      <c r="H36" t="s">
        <v>41</v>
      </c>
      <c r="I36" t="s">
        <v>17</v>
      </c>
      <c r="J36">
        <f>1.95*1000000</f>
        <v>1950000</v>
      </c>
      <c r="K36" s="1">
        <f>Sheet1!$G$5</f>
        <v>2.2229999999999998E-4</v>
      </c>
      <c r="L36" s="1">
        <f t="shared" si="0"/>
        <v>433.48499999999996</v>
      </c>
      <c r="M36" s="1">
        <f>Sheet1!$G$2</f>
        <v>1.2349999999999999E-4</v>
      </c>
      <c r="N36" s="1">
        <f t="shared" si="1"/>
        <v>240.82499999999999</v>
      </c>
      <c r="O36" s="1">
        <f>Sheet1!$G$3</f>
        <v>7.695E-4</v>
      </c>
      <c r="P36" s="1">
        <f t="shared" si="2"/>
        <v>1500.5250000000001</v>
      </c>
      <c r="Q36" s="1">
        <f>Sheet1!$G$4</f>
        <v>4.9399999999999997E-4</v>
      </c>
      <c r="R36" s="1">
        <f t="shared" si="3"/>
        <v>963.3</v>
      </c>
    </row>
    <row r="37" spans="1:18" x14ac:dyDescent="0.3">
      <c r="A37" t="s">
        <v>72</v>
      </c>
      <c r="B37" t="s">
        <v>73</v>
      </c>
      <c r="C37">
        <v>28.490245000000002</v>
      </c>
      <c r="D37">
        <v>76.386298999999994</v>
      </c>
      <c r="E37" t="s">
        <v>14</v>
      </c>
      <c r="G37" t="s">
        <v>66</v>
      </c>
      <c r="H37" t="s">
        <v>41</v>
      </c>
      <c r="I37" t="s">
        <v>17</v>
      </c>
      <c r="J37">
        <v>0</v>
      </c>
      <c r="K37" s="1">
        <f>Sheet1!$G$5</f>
        <v>2.2229999999999998E-4</v>
      </c>
      <c r="L37" s="1">
        <f t="shared" si="0"/>
        <v>0</v>
      </c>
      <c r="M37" s="1">
        <f>Sheet1!$G$2</f>
        <v>1.2349999999999999E-4</v>
      </c>
      <c r="N37" s="1">
        <f t="shared" si="1"/>
        <v>0</v>
      </c>
      <c r="O37" s="1">
        <f>Sheet1!$G$3</f>
        <v>7.695E-4</v>
      </c>
      <c r="P37" s="1">
        <f t="shared" si="2"/>
        <v>0</v>
      </c>
      <c r="Q37" s="1">
        <f>Sheet1!$G$4</f>
        <v>4.9399999999999997E-4</v>
      </c>
      <c r="R37" s="1">
        <f t="shared" si="3"/>
        <v>0</v>
      </c>
    </row>
    <row r="38" spans="1:18" x14ac:dyDescent="0.3">
      <c r="A38" t="s">
        <v>74</v>
      </c>
      <c r="B38" t="s">
        <v>75</v>
      </c>
      <c r="C38">
        <v>29.758381</v>
      </c>
      <c r="D38">
        <v>78.062049000000002</v>
      </c>
      <c r="E38" t="s">
        <v>14</v>
      </c>
      <c r="G38" t="s">
        <v>53</v>
      </c>
      <c r="H38" t="s">
        <v>41</v>
      </c>
      <c r="I38" t="s">
        <v>17</v>
      </c>
      <c r="J38">
        <v>0</v>
      </c>
      <c r="K38" s="1">
        <f>Sheet1!$G$5</f>
        <v>2.2229999999999998E-4</v>
      </c>
      <c r="L38" s="1">
        <f t="shared" si="0"/>
        <v>0</v>
      </c>
      <c r="M38" s="1">
        <f>Sheet1!$G$2</f>
        <v>1.2349999999999999E-4</v>
      </c>
      <c r="N38" s="1">
        <f t="shared" si="1"/>
        <v>0</v>
      </c>
      <c r="O38" s="1">
        <f>Sheet1!$G$3</f>
        <v>7.695E-4</v>
      </c>
      <c r="P38" s="1">
        <f t="shared" si="2"/>
        <v>0</v>
      </c>
      <c r="Q38" s="1">
        <f>Sheet1!$G$4</f>
        <v>4.9399999999999997E-4</v>
      </c>
      <c r="R38" s="1">
        <f t="shared" si="3"/>
        <v>0</v>
      </c>
    </row>
    <row r="39" spans="1:18" x14ac:dyDescent="0.3">
      <c r="A39" t="s">
        <v>76</v>
      </c>
      <c r="B39" t="s">
        <v>77</v>
      </c>
      <c r="C39">
        <v>28.495111000000001</v>
      </c>
      <c r="D39">
        <v>76.358152000000004</v>
      </c>
      <c r="E39" t="s">
        <v>14</v>
      </c>
      <c r="G39" t="s">
        <v>66</v>
      </c>
      <c r="H39" t="s">
        <v>41</v>
      </c>
      <c r="I39" t="s">
        <v>17</v>
      </c>
      <c r="J39">
        <v>0</v>
      </c>
      <c r="K39" s="1">
        <f>Sheet1!$G$5</f>
        <v>2.2229999999999998E-4</v>
      </c>
      <c r="L39" s="1">
        <f t="shared" si="0"/>
        <v>0</v>
      </c>
      <c r="M39" s="1">
        <f>Sheet1!$G$2</f>
        <v>1.2349999999999999E-4</v>
      </c>
      <c r="N39" s="1">
        <f t="shared" si="1"/>
        <v>0</v>
      </c>
      <c r="O39" s="1">
        <f>Sheet1!$G$3</f>
        <v>7.695E-4</v>
      </c>
      <c r="P39" s="1">
        <f t="shared" si="2"/>
        <v>0</v>
      </c>
      <c r="Q39" s="1">
        <f>Sheet1!$G$4</f>
        <v>4.9399999999999997E-4</v>
      </c>
      <c r="R39" s="1">
        <f t="shared" si="3"/>
        <v>0</v>
      </c>
    </row>
    <row r="40" spans="1:18" x14ac:dyDescent="0.3">
      <c r="A40" t="s">
        <v>78</v>
      </c>
      <c r="B40" t="s">
        <v>75</v>
      </c>
      <c r="C40">
        <v>24.774342000000001</v>
      </c>
      <c r="D40">
        <v>84.354352000000006</v>
      </c>
      <c r="E40" t="s">
        <v>14</v>
      </c>
      <c r="G40" t="s">
        <v>64</v>
      </c>
      <c r="H40" t="s">
        <v>41</v>
      </c>
      <c r="I40" t="s">
        <v>17</v>
      </c>
      <c r="J40">
        <v>0</v>
      </c>
      <c r="K40" s="1">
        <f>Sheet1!$G$5</f>
        <v>2.2229999999999998E-4</v>
      </c>
      <c r="L40" s="1">
        <f t="shared" si="0"/>
        <v>0</v>
      </c>
      <c r="M40" s="1">
        <f>Sheet1!$G$2</f>
        <v>1.2349999999999999E-4</v>
      </c>
      <c r="N40" s="1">
        <f t="shared" si="1"/>
        <v>0</v>
      </c>
      <c r="O40" s="1">
        <f>Sheet1!$G$3</f>
        <v>7.695E-4</v>
      </c>
      <c r="P40" s="1">
        <f t="shared" si="2"/>
        <v>0</v>
      </c>
      <c r="Q40" s="1">
        <f>Sheet1!$G$4</f>
        <v>4.9399999999999997E-4</v>
      </c>
      <c r="R40" s="1">
        <f t="shared" si="3"/>
        <v>0</v>
      </c>
    </row>
    <row r="41" spans="1:18" x14ac:dyDescent="0.3">
      <c r="A41" t="s">
        <v>79</v>
      </c>
      <c r="B41" t="s">
        <v>75</v>
      </c>
      <c r="C41">
        <v>28.480533999999999</v>
      </c>
      <c r="D41">
        <v>77.658795999999995</v>
      </c>
      <c r="E41" t="s">
        <v>14</v>
      </c>
      <c r="G41" t="s">
        <v>40</v>
      </c>
      <c r="H41" t="s">
        <v>41</v>
      </c>
      <c r="I41" t="s">
        <v>17</v>
      </c>
      <c r="J41">
        <v>0</v>
      </c>
      <c r="K41" s="1">
        <f>Sheet1!$G$5</f>
        <v>2.2229999999999998E-4</v>
      </c>
      <c r="L41" s="1">
        <f t="shared" si="0"/>
        <v>0</v>
      </c>
      <c r="M41" s="1">
        <f>Sheet1!$G$2</f>
        <v>1.2349999999999999E-4</v>
      </c>
      <c r="N41" s="1">
        <f t="shared" si="1"/>
        <v>0</v>
      </c>
      <c r="O41" s="1">
        <f>Sheet1!$G$3</f>
        <v>7.695E-4</v>
      </c>
      <c r="P41" s="1">
        <f t="shared" si="2"/>
        <v>0</v>
      </c>
      <c r="Q41" s="1">
        <f>Sheet1!$G$4</f>
        <v>4.9399999999999997E-4</v>
      </c>
      <c r="R41" s="1">
        <f t="shared" si="3"/>
        <v>0</v>
      </c>
    </row>
    <row r="42" spans="1:18" x14ac:dyDescent="0.3">
      <c r="A42" t="s">
        <v>80</v>
      </c>
      <c r="B42" t="s">
        <v>75</v>
      </c>
      <c r="C42">
        <v>29.396089</v>
      </c>
      <c r="D42">
        <v>76.889313000000001</v>
      </c>
      <c r="E42" t="s">
        <v>14</v>
      </c>
      <c r="G42" t="s">
        <v>66</v>
      </c>
      <c r="H42" t="s">
        <v>41</v>
      </c>
      <c r="I42" t="s">
        <v>17</v>
      </c>
      <c r="J42">
        <v>0</v>
      </c>
      <c r="K42" s="1">
        <f>Sheet1!$G$5</f>
        <v>2.2229999999999998E-4</v>
      </c>
      <c r="L42" s="1">
        <f t="shared" si="0"/>
        <v>0</v>
      </c>
      <c r="M42" s="1">
        <f>Sheet1!$G$2</f>
        <v>1.2349999999999999E-4</v>
      </c>
      <c r="N42" s="1">
        <f t="shared" si="1"/>
        <v>0</v>
      </c>
      <c r="O42" s="1">
        <f>Sheet1!$G$3</f>
        <v>7.695E-4</v>
      </c>
      <c r="P42" s="1">
        <f t="shared" si="2"/>
        <v>0</v>
      </c>
      <c r="Q42" s="1">
        <f>Sheet1!$G$4</f>
        <v>4.9399999999999997E-4</v>
      </c>
      <c r="R42" s="1">
        <f t="shared" si="3"/>
        <v>0</v>
      </c>
    </row>
    <row r="43" spans="1:18" x14ac:dyDescent="0.3">
      <c r="A43" t="s">
        <v>81</v>
      </c>
      <c r="B43" t="s">
        <v>82</v>
      </c>
      <c r="C43">
        <v>22.576170999999999</v>
      </c>
      <c r="D43">
        <v>87.309608999999995</v>
      </c>
      <c r="E43" t="s">
        <v>63</v>
      </c>
      <c r="G43" t="s">
        <v>42</v>
      </c>
      <c r="H43" t="s">
        <v>41</v>
      </c>
      <c r="I43" t="s">
        <v>17</v>
      </c>
      <c r="J43">
        <f>2.4*1000000</f>
        <v>2400000</v>
      </c>
      <c r="K43" s="1">
        <f>Sheet1!$G$5</f>
        <v>2.2229999999999998E-4</v>
      </c>
      <c r="L43" s="1">
        <f t="shared" si="0"/>
        <v>533.52</v>
      </c>
      <c r="M43" s="1">
        <f>Sheet1!$G$2</f>
        <v>1.2349999999999999E-4</v>
      </c>
      <c r="N43" s="1">
        <f t="shared" si="1"/>
        <v>296.39999999999998</v>
      </c>
      <c r="O43" s="1">
        <f>Sheet1!$G$3</f>
        <v>7.695E-4</v>
      </c>
      <c r="P43" s="1">
        <f t="shared" si="2"/>
        <v>1846.8</v>
      </c>
      <c r="Q43" s="1">
        <f>Sheet1!$G$4</f>
        <v>4.9399999999999997E-4</v>
      </c>
      <c r="R43" s="1">
        <f t="shared" si="3"/>
        <v>1185.5999999999999</v>
      </c>
    </row>
    <row r="44" spans="1:18" x14ac:dyDescent="0.3">
      <c r="A44" t="s">
        <v>83</v>
      </c>
      <c r="B44" t="s">
        <v>75</v>
      </c>
      <c r="C44">
        <v>29.156732000000002</v>
      </c>
      <c r="D44">
        <v>73.865415999999996</v>
      </c>
      <c r="E44" t="s">
        <v>14</v>
      </c>
      <c r="G44" t="s">
        <v>84</v>
      </c>
      <c r="H44" t="s">
        <v>41</v>
      </c>
      <c r="I44" t="s">
        <v>17</v>
      </c>
      <c r="J44">
        <v>0</v>
      </c>
      <c r="K44" s="1">
        <f>Sheet1!$G$5</f>
        <v>2.2229999999999998E-4</v>
      </c>
      <c r="L44" s="1">
        <f t="shared" si="0"/>
        <v>0</v>
      </c>
      <c r="M44" s="1">
        <f>Sheet1!$G$2</f>
        <v>1.2349999999999999E-4</v>
      </c>
      <c r="N44" s="1">
        <f t="shared" si="1"/>
        <v>0</v>
      </c>
      <c r="O44" s="1">
        <f>Sheet1!$G$3</f>
        <v>7.695E-4</v>
      </c>
      <c r="P44" s="1">
        <f t="shared" si="2"/>
        <v>0</v>
      </c>
      <c r="Q44" s="1">
        <f>Sheet1!$G$4</f>
        <v>4.9399999999999997E-4</v>
      </c>
      <c r="R44" s="1">
        <f t="shared" si="3"/>
        <v>0</v>
      </c>
    </row>
    <row r="45" spans="1:18" x14ac:dyDescent="0.3">
      <c r="A45" t="s">
        <v>85</v>
      </c>
      <c r="B45" t="s">
        <v>86</v>
      </c>
      <c r="C45">
        <v>24.449401000000002</v>
      </c>
      <c r="D45">
        <v>83.039567000000005</v>
      </c>
      <c r="E45" t="s">
        <v>63</v>
      </c>
      <c r="G45" t="s">
        <v>40</v>
      </c>
      <c r="H45" t="s">
        <v>41</v>
      </c>
      <c r="I45" t="s">
        <v>17</v>
      </c>
      <c r="J45">
        <f>2.36*1000000</f>
        <v>2360000</v>
      </c>
      <c r="K45" s="1">
        <f>Sheet1!$G$5</f>
        <v>2.2229999999999998E-4</v>
      </c>
      <c r="L45" s="1">
        <f t="shared" si="0"/>
        <v>524.62799999999993</v>
      </c>
      <c r="M45" s="1">
        <f>Sheet1!$G$2</f>
        <v>1.2349999999999999E-4</v>
      </c>
      <c r="N45" s="1">
        <f t="shared" si="1"/>
        <v>291.45999999999998</v>
      </c>
      <c r="O45" s="1">
        <f>Sheet1!$G$3</f>
        <v>7.695E-4</v>
      </c>
      <c r="P45" s="1">
        <f t="shared" si="2"/>
        <v>1816.02</v>
      </c>
      <c r="Q45" s="1">
        <f>Sheet1!$G$4</f>
        <v>4.9399999999999997E-4</v>
      </c>
      <c r="R45" s="1">
        <f t="shared" si="3"/>
        <v>1165.8399999999999</v>
      </c>
    </row>
    <row r="46" spans="1:18" x14ac:dyDescent="0.3">
      <c r="A46" t="s">
        <v>87</v>
      </c>
      <c r="B46" t="s">
        <v>86</v>
      </c>
      <c r="C46">
        <v>26.576623000000001</v>
      </c>
      <c r="D46">
        <v>82.584652000000006</v>
      </c>
      <c r="E46" t="s">
        <v>14</v>
      </c>
      <c r="G46" t="s">
        <v>40</v>
      </c>
      <c r="H46" t="s">
        <v>41</v>
      </c>
      <c r="I46" t="s">
        <v>17</v>
      </c>
      <c r="J46">
        <v>0</v>
      </c>
      <c r="K46" s="1">
        <f>Sheet1!$G$5</f>
        <v>2.2229999999999998E-4</v>
      </c>
      <c r="L46" s="1">
        <f t="shared" si="0"/>
        <v>0</v>
      </c>
      <c r="M46" s="1">
        <f>Sheet1!$G$2</f>
        <v>1.2349999999999999E-4</v>
      </c>
      <c r="N46" s="1">
        <f t="shared" si="1"/>
        <v>0</v>
      </c>
      <c r="O46" s="1">
        <f>Sheet1!$G$3</f>
        <v>7.695E-4</v>
      </c>
      <c r="P46" s="1">
        <f t="shared" si="2"/>
        <v>0</v>
      </c>
      <c r="Q46" s="1">
        <f>Sheet1!$G$4</f>
        <v>4.9399999999999997E-4</v>
      </c>
      <c r="R46" s="1">
        <f t="shared" si="3"/>
        <v>0</v>
      </c>
    </row>
    <row r="47" spans="1:18" x14ac:dyDescent="0.3">
      <c r="A47" t="s">
        <v>88</v>
      </c>
      <c r="B47" t="s">
        <v>86</v>
      </c>
      <c r="C47">
        <v>22.726901999999999</v>
      </c>
      <c r="D47">
        <v>88.269130000000004</v>
      </c>
      <c r="E47" t="s">
        <v>14</v>
      </c>
      <c r="G47" t="s">
        <v>42</v>
      </c>
      <c r="H47" t="s">
        <v>41</v>
      </c>
      <c r="I47" t="s">
        <v>17</v>
      </c>
      <c r="J47">
        <v>0</v>
      </c>
      <c r="K47" s="1">
        <f>Sheet1!$G$5</f>
        <v>2.2229999999999998E-4</v>
      </c>
      <c r="L47" s="1">
        <f t="shared" si="0"/>
        <v>0</v>
      </c>
      <c r="M47" s="1">
        <f>Sheet1!$G$2</f>
        <v>1.2349999999999999E-4</v>
      </c>
      <c r="N47" s="1">
        <f t="shared" si="1"/>
        <v>0</v>
      </c>
      <c r="O47" s="1">
        <f>Sheet1!$G$3</f>
        <v>7.695E-4</v>
      </c>
      <c r="P47" s="1">
        <f t="shared" si="2"/>
        <v>0</v>
      </c>
      <c r="Q47" s="1">
        <f>Sheet1!$G$4</f>
        <v>4.9399999999999997E-4</v>
      </c>
      <c r="R47" s="1">
        <f t="shared" si="3"/>
        <v>0</v>
      </c>
    </row>
    <row r="48" spans="1:18" x14ac:dyDescent="0.3">
      <c r="A48" t="s">
        <v>89</v>
      </c>
      <c r="B48" t="s">
        <v>86</v>
      </c>
      <c r="C48">
        <v>28.505155999999999</v>
      </c>
      <c r="D48">
        <v>76.367040000000003</v>
      </c>
      <c r="E48" t="s">
        <v>14</v>
      </c>
      <c r="G48" t="s">
        <v>66</v>
      </c>
      <c r="H48" t="s">
        <v>41</v>
      </c>
      <c r="I48" t="s">
        <v>17</v>
      </c>
      <c r="J48">
        <v>0</v>
      </c>
      <c r="K48" s="1">
        <f>Sheet1!$G$5</f>
        <v>2.2229999999999998E-4</v>
      </c>
      <c r="L48" s="1">
        <f t="shared" si="0"/>
        <v>0</v>
      </c>
      <c r="M48" s="1">
        <f>Sheet1!$G$2</f>
        <v>1.2349999999999999E-4</v>
      </c>
      <c r="N48" s="1">
        <f t="shared" si="1"/>
        <v>0</v>
      </c>
      <c r="O48" s="1">
        <f>Sheet1!$G$3</f>
        <v>7.695E-4</v>
      </c>
      <c r="P48" s="1">
        <f t="shared" si="2"/>
        <v>0</v>
      </c>
      <c r="Q48" s="1">
        <f>Sheet1!$G$4</f>
        <v>4.9399999999999997E-4</v>
      </c>
      <c r="R48" s="1">
        <f t="shared" si="3"/>
        <v>0</v>
      </c>
    </row>
    <row r="49" spans="1:18" x14ac:dyDescent="0.3">
      <c r="A49" t="s">
        <v>90</v>
      </c>
      <c r="B49" t="s">
        <v>86</v>
      </c>
      <c r="C49">
        <v>29.289373000000001</v>
      </c>
      <c r="D49">
        <v>76.808284</v>
      </c>
      <c r="E49" t="s">
        <v>14</v>
      </c>
      <c r="G49" t="s">
        <v>66</v>
      </c>
      <c r="H49" t="s">
        <v>41</v>
      </c>
      <c r="I49" t="s">
        <v>17</v>
      </c>
      <c r="J49">
        <v>0</v>
      </c>
      <c r="K49" s="1">
        <f>Sheet1!$G$5</f>
        <v>2.2229999999999998E-4</v>
      </c>
      <c r="L49" s="1">
        <f t="shared" si="0"/>
        <v>0</v>
      </c>
      <c r="M49" s="1">
        <f>Sheet1!$G$2</f>
        <v>1.2349999999999999E-4</v>
      </c>
      <c r="N49" s="1">
        <f t="shared" si="1"/>
        <v>0</v>
      </c>
      <c r="O49" s="1">
        <f>Sheet1!$G$3</f>
        <v>7.695E-4</v>
      </c>
      <c r="P49" s="1">
        <f t="shared" si="2"/>
        <v>0</v>
      </c>
      <c r="Q49" s="1">
        <f>Sheet1!$G$4</f>
        <v>4.9399999999999997E-4</v>
      </c>
      <c r="R49" s="1">
        <f t="shared" si="3"/>
        <v>0</v>
      </c>
    </row>
    <row r="50" spans="1:18" x14ac:dyDescent="0.3">
      <c r="A50" t="s">
        <v>91</v>
      </c>
      <c r="B50" t="s">
        <v>86</v>
      </c>
      <c r="C50">
        <v>27.989507</v>
      </c>
      <c r="D50">
        <v>78.136713</v>
      </c>
      <c r="E50" t="s">
        <v>14</v>
      </c>
      <c r="G50" t="s">
        <v>40</v>
      </c>
      <c r="H50" t="s">
        <v>41</v>
      </c>
      <c r="I50" t="s">
        <v>17</v>
      </c>
      <c r="J50">
        <v>0</v>
      </c>
      <c r="K50" s="1">
        <f>Sheet1!$G$5</f>
        <v>2.2229999999999998E-4</v>
      </c>
      <c r="L50" s="1">
        <f t="shared" si="0"/>
        <v>0</v>
      </c>
      <c r="M50" s="1">
        <f>Sheet1!$G$2</f>
        <v>1.2349999999999999E-4</v>
      </c>
      <c r="N50" s="1">
        <f t="shared" si="1"/>
        <v>0</v>
      </c>
      <c r="O50" s="1">
        <f>Sheet1!$G$3</f>
        <v>7.695E-4</v>
      </c>
      <c r="P50" s="1">
        <f t="shared" si="2"/>
        <v>0</v>
      </c>
      <c r="Q50" s="1">
        <f>Sheet1!$G$4</f>
        <v>4.9399999999999997E-4</v>
      </c>
      <c r="R50" s="1">
        <f t="shared" si="3"/>
        <v>0</v>
      </c>
    </row>
    <row r="51" spans="1:18" x14ac:dyDescent="0.3">
      <c r="A51" t="s">
        <v>92</v>
      </c>
      <c r="B51" t="s">
        <v>86</v>
      </c>
      <c r="C51">
        <v>30.272417000000001</v>
      </c>
      <c r="D51">
        <v>75.162379000000001</v>
      </c>
      <c r="E51" t="s">
        <v>14</v>
      </c>
      <c r="G51" t="s">
        <v>49</v>
      </c>
      <c r="H51" t="s">
        <v>41</v>
      </c>
      <c r="I51" t="s">
        <v>17</v>
      </c>
      <c r="J51">
        <v>0</v>
      </c>
      <c r="K51" s="1">
        <f>Sheet1!$G$5</f>
        <v>2.2229999999999998E-4</v>
      </c>
      <c r="L51" s="1">
        <f t="shared" si="0"/>
        <v>0</v>
      </c>
      <c r="M51" s="1">
        <f>Sheet1!$G$2</f>
        <v>1.2349999999999999E-4</v>
      </c>
      <c r="N51" s="1">
        <f t="shared" si="1"/>
        <v>0</v>
      </c>
      <c r="O51" s="1">
        <f>Sheet1!$G$3</f>
        <v>7.695E-4</v>
      </c>
      <c r="P51" s="1">
        <f t="shared" si="2"/>
        <v>0</v>
      </c>
      <c r="Q51" s="1">
        <f>Sheet1!$G$4</f>
        <v>4.9399999999999997E-4</v>
      </c>
      <c r="R51" s="1">
        <f t="shared" si="3"/>
        <v>0</v>
      </c>
    </row>
    <row r="52" spans="1:18" x14ac:dyDescent="0.3">
      <c r="A52" t="s">
        <v>93</v>
      </c>
      <c r="B52" t="s">
        <v>86</v>
      </c>
      <c r="C52">
        <v>23.492432000000001</v>
      </c>
      <c r="D52">
        <v>87.362241999999995</v>
      </c>
      <c r="E52" t="s">
        <v>14</v>
      </c>
      <c r="G52" t="s">
        <v>42</v>
      </c>
      <c r="H52" t="s">
        <v>41</v>
      </c>
      <c r="I52" t="s">
        <v>17</v>
      </c>
      <c r="J52">
        <v>0</v>
      </c>
      <c r="K52" s="1">
        <f>Sheet1!$G$5</f>
        <v>2.2229999999999998E-4</v>
      </c>
      <c r="L52" s="1">
        <f t="shared" si="0"/>
        <v>0</v>
      </c>
      <c r="M52" s="1">
        <f>Sheet1!$G$2</f>
        <v>1.2349999999999999E-4</v>
      </c>
      <c r="N52" s="1">
        <f t="shared" si="1"/>
        <v>0</v>
      </c>
      <c r="O52" s="1">
        <f>Sheet1!$G$3</f>
        <v>7.695E-4</v>
      </c>
      <c r="P52" s="1">
        <f t="shared" si="2"/>
        <v>0</v>
      </c>
      <c r="Q52" s="1">
        <f>Sheet1!$G$4</f>
        <v>4.9399999999999997E-4</v>
      </c>
      <c r="R52" s="1">
        <f t="shared" si="3"/>
        <v>0</v>
      </c>
    </row>
    <row r="53" spans="1:18" x14ac:dyDescent="0.3">
      <c r="A53" t="s">
        <v>94</v>
      </c>
      <c r="B53" t="s">
        <v>86</v>
      </c>
      <c r="C53">
        <v>28.578002000000001</v>
      </c>
      <c r="D53">
        <v>77.592701000000005</v>
      </c>
      <c r="E53" t="s">
        <v>14</v>
      </c>
      <c r="G53" t="s">
        <v>40</v>
      </c>
      <c r="H53" t="s">
        <v>41</v>
      </c>
      <c r="I53" t="s">
        <v>17</v>
      </c>
      <c r="J53">
        <v>0</v>
      </c>
      <c r="K53" s="1">
        <f>Sheet1!$G$5</f>
        <v>2.2229999999999998E-4</v>
      </c>
      <c r="L53" s="1">
        <f t="shared" si="0"/>
        <v>0</v>
      </c>
      <c r="M53" s="1">
        <f>Sheet1!$G$2</f>
        <v>1.2349999999999999E-4</v>
      </c>
      <c r="N53" s="1">
        <f t="shared" si="1"/>
        <v>0</v>
      </c>
      <c r="O53" s="1">
        <f>Sheet1!$G$3</f>
        <v>7.695E-4</v>
      </c>
      <c r="P53" s="1">
        <f t="shared" si="2"/>
        <v>0</v>
      </c>
      <c r="Q53" s="1">
        <f>Sheet1!$G$4</f>
        <v>4.9399999999999997E-4</v>
      </c>
      <c r="R53" s="1">
        <f t="shared" si="3"/>
        <v>0</v>
      </c>
    </row>
    <row r="54" spans="1:18" x14ac:dyDescent="0.3">
      <c r="A54" t="s">
        <v>95</v>
      </c>
      <c r="B54" t="s">
        <v>86</v>
      </c>
      <c r="C54">
        <v>25.395551000000001</v>
      </c>
      <c r="D54">
        <v>85.292394000000002</v>
      </c>
      <c r="E54" t="s">
        <v>14</v>
      </c>
      <c r="G54" t="s">
        <v>64</v>
      </c>
      <c r="H54" t="s">
        <v>41</v>
      </c>
      <c r="I54" t="s">
        <v>17</v>
      </c>
      <c r="J54">
        <v>0</v>
      </c>
      <c r="K54" s="1">
        <f>Sheet1!$G$5</f>
        <v>2.2229999999999998E-4</v>
      </c>
      <c r="L54" s="1">
        <f t="shared" si="0"/>
        <v>0</v>
      </c>
      <c r="M54" s="1">
        <f>Sheet1!$G$2</f>
        <v>1.2349999999999999E-4</v>
      </c>
      <c r="N54" s="1">
        <f t="shared" si="1"/>
        <v>0</v>
      </c>
      <c r="O54" s="1">
        <f>Sheet1!$G$3</f>
        <v>7.695E-4</v>
      </c>
      <c r="P54" s="1">
        <f t="shared" si="2"/>
        <v>0</v>
      </c>
      <c r="Q54" s="1">
        <f>Sheet1!$G$4</f>
        <v>4.9399999999999997E-4</v>
      </c>
      <c r="R54" s="1">
        <f t="shared" si="3"/>
        <v>0</v>
      </c>
    </row>
    <row r="55" spans="1:18" x14ac:dyDescent="0.3">
      <c r="A55" t="s">
        <v>96</v>
      </c>
      <c r="B55" t="s">
        <v>86</v>
      </c>
      <c r="C55">
        <v>29.888977000000001</v>
      </c>
      <c r="D55">
        <v>77.812057999999993</v>
      </c>
      <c r="E55" t="s">
        <v>14</v>
      </c>
      <c r="G55" t="s">
        <v>53</v>
      </c>
      <c r="H55" t="s">
        <v>41</v>
      </c>
      <c r="I55" t="s">
        <v>17</v>
      </c>
      <c r="J55">
        <v>0</v>
      </c>
      <c r="K55" s="1">
        <f>Sheet1!$G$5</f>
        <v>2.2229999999999998E-4</v>
      </c>
      <c r="L55" s="1">
        <f t="shared" si="0"/>
        <v>0</v>
      </c>
      <c r="M55" s="1">
        <f>Sheet1!$G$2</f>
        <v>1.2349999999999999E-4</v>
      </c>
      <c r="N55" s="1">
        <f t="shared" si="1"/>
        <v>0</v>
      </c>
      <c r="O55" s="1">
        <f>Sheet1!$G$3</f>
        <v>7.695E-4</v>
      </c>
      <c r="P55" s="1">
        <f t="shared" si="2"/>
        <v>0</v>
      </c>
      <c r="Q55" s="1">
        <f>Sheet1!$G$4</f>
        <v>4.9399999999999997E-4</v>
      </c>
      <c r="R55" s="1">
        <f t="shared" si="3"/>
        <v>0</v>
      </c>
    </row>
    <row r="56" spans="1:18" x14ac:dyDescent="0.3">
      <c r="A56" t="s">
        <v>97</v>
      </c>
      <c r="B56" t="s">
        <v>98</v>
      </c>
      <c r="C56">
        <v>25.315639000000001</v>
      </c>
      <c r="D56">
        <v>68.215568000000005</v>
      </c>
      <c r="E56" t="s">
        <v>63</v>
      </c>
      <c r="G56" t="s">
        <v>99</v>
      </c>
      <c r="H56" t="s">
        <v>100</v>
      </c>
      <c r="I56" t="s">
        <v>17</v>
      </c>
      <c r="J56">
        <f>0.05*1000000</f>
        <v>50000</v>
      </c>
      <c r="K56" s="1">
        <f>Sheet1!$G$5</f>
        <v>2.2229999999999998E-4</v>
      </c>
      <c r="L56" s="1">
        <f t="shared" si="0"/>
        <v>11.114999999999998</v>
      </c>
      <c r="M56" s="1">
        <f>Sheet1!$G$2</f>
        <v>1.2349999999999999E-4</v>
      </c>
      <c r="N56" s="1">
        <f t="shared" si="1"/>
        <v>6.1749999999999998</v>
      </c>
      <c r="O56" s="1">
        <f>Sheet1!$G$3</f>
        <v>7.695E-4</v>
      </c>
      <c r="P56" s="1">
        <f t="shared" si="2"/>
        <v>38.475000000000001</v>
      </c>
      <c r="Q56" s="1">
        <f>Sheet1!$G$4</f>
        <v>4.9399999999999997E-4</v>
      </c>
      <c r="R56" s="1">
        <f t="shared" si="3"/>
        <v>24.7</v>
      </c>
    </row>
    <row r="57" spans="1:18" x14ac:dyDescent="0.3">
      <c r="A57" t="s">
        <v>101</v>
      </c>
      <c r="B57" t="s">
        <v>102</v>
      </c>
      <c r="C57">
        <v>33.802044000000002</v>
      </c>
      <c r="D57">
        <v>72.095822999999996</v>
      </c>
      <c r="E57" t="s">
        <v>63</v>
      </c>
      <c r="G57" t="s">
        <v>103</v>
      </c>
      <c r="H57" t="s">
        <v>100</v>
      </c>
      <c r="I57" t="s">
        <v>17</v>
      </c>
      <c r="J57">
        <f>2.07*1000000</f>
        <v>2069999.9999999998</v>
      </c>
      <c r="K57" s="1">
        <f>Sheet1!$G$5</f>
        <v>2.2229999999999998E-4</v>
      </c>
      <c r="L57" s="1">
        <f t="shared" si="0"/>
        <v>460.16099999999989</v>
      </c>
      <c r="M57" s="1">
        <f>Sheet1!$G$2</f>
        <v>1.2349999999999999E-4</v>
      </c>
      <c r="N57" s="1">
        <f t="shared" si="1"/>
        <v>255.64499999999995</v>
      </c>
      <c r="O57" s="1">
        <f>Sheet1!$G$3</f>
        <v>7.695E-4</v>
      </c>
      <c r="P57" s="1">
        <f t="shared" si="2"/>
        <v>1592.8649999999998</v>
      </c>
      <c r="Q57" s="1">
        <f>Sheet1!$G$4</f>
        <v>4.9399999999999997E-4</v>
      </c>
      <c r="R57" s="1">
        <f t="shared" si="3"/>
        <v>1022.5799999999998</v>
      </c>
    </row>
    <row r="58" spans="1:18" x14ac:dyDescent="0.3">
      <c r="A58" t="s">
        <v>104</v>
      </c>
      <c r="B58" t="s">
        <v>86</v>
      </c>
      <c r="C58">
        <v>28.469412999999999</v>
      </c>
      <c r="D58">
        <v>77.666031000000004</v>
      </c>
      <c r="E58" t="s">
        <v>14</v>
      </c>
      <c r="G58" t="s">
        <v>40</v>
      </c>
      <c r="H58" t="s">
        <v>41</v>
      </c>
      <c r="I58" t="s">
        <v>17</v>
      </c>
      <c r="J58">
        <v>0</v>
      </c>
      <c r="K58" s="1">
        <f>Sheet1!$G$5</f>
        <v>2.2229999999999998E-4</v>
      </c>
      <c r="L58" s="1">
        <f t="shared" si="0"/>
        <v>0</v>
      </c>
      <c r="M58" s="1">
        <f>Sheet1!$G$2</f>
        <v>1.2349999999999999E-4</v>
      </c>
      <c r="N58" s="1">
        <f t="shared" si="1"/>
        <v>0</v>
      </c>
      <c r="O58" s="1">
        <f>Sheet1!$G$3</f>
        <v>7.695E-4</v>
      </c>
      <c r="P58" s="1">
        <f t="shared" si="2"/>
        <v>0</v>
      </c>
      <c r="Q58" s="1">
        <f>Sheet1!$G$4</f>
        <v>4.9399999999999997E-4</v>
      </c>
      <c r="R58" s="1">
        <f t="shared" si="3"/>
        <v>0</v>
      </c>
    </row>
    <row r="59" spans="1:18" x14ac:dyDescent="0.3">
      <c r="A59" t="s">
        <v>105</v>
      </c>
      <c r="B59" t="s">
        <v>102</v>
      </c>
      <c r="C59">
        <v>33.817000999999998</v>
      </c>
      <c r="D59">
        <v>72.721614000000002</v>
      </c>
      <c r="E59" t="s">
        <v>63</v>
      </c>
      <c r="G59" t="s">
        <v>49</v>
      </c>
      <c r="H59" t="s">
        <v>100</v>
      </c>
      <c r="I59" t="s">
        <v>17</v>
      </c>
      <c r="J59">
        <f>1.34*1000000</f>
        <v>1340000</v>
      </c>
      <c r="K59" s="1">
        <f>Sheet1!$G$5</f>
        <v>2.2229999999999998E-4</v>
      </c>
      <c r="L59" s="1">
        <f t="shared" si="0"/>
        <v>297.88199999999995</v>
      </c>
      <c r="M59" s="1">
        <f>Sheet1!$G$2</f>
        <v>1.2349999999999999E-4</v>
      </c>
      <c r="N59" s="1">
        <f t="shared" si="1"/>
        <v>165.48999999999998</v>
      </c>
      <c r="O59" s="1">
        <f>Sheet1!$G$3</f>
        <v>7.695E-4</v>
      </c>
      <c r="P59" s="1">
        <f t="shared" si="2"/>
        <v>1031.1300000000001</v>
      </c>
      <c r="Q59" s="1">
        <f>Sheet1!$G$4</f>
        <v>4.9399999999999997E-4</v>
      </c>
      <c r="R59" s="1">
        <f t="shared" si="3"/>
        <v>661.95999999999992</v>
      </c>
    </row>
    <row r="60" spans="1:18" x14ac:dyDescent="0.3">
      <c r="A60" t="s">
        <v>106</v>
      </c>
      <c r="B60" t="s">
        <v>107</v>
      </c>
      <c r="C60">
        <v>32.721674999999998</v>
      </c>
      <c r="D60">
        <v>72.924368999999999</v>
      </c>
      <c r="E60" t="s">
        <v>63</v>
      </c>
      <c r="G60" t="s">
        <v>49</v>
      </c>
      <c r="H60" t="s">
        <v>100</v>
      </c>
      <c r="I60" t="s">
        <v>17</v>
      </c>
      <c r="J60">
        <f>3.43*1000000</f>
        <v>3430000</v>
      </c>
      <c r="K60" s="1">
        <f>Sheet1!$G$5</f>
        <v>2.2229999999999998E-4</v>
      </c>
      <c r="L60" s="1">
        <f t="shared" si="0"/>
        <v>762.48899999999992</v>
      </c>
      <c r="M60" s="1">
        <f>Sheet1!$G$2</f>
        <v>1.2349999999999999E-4</v>
      </c>
      <c r="N60" s="1">
        <f t="shared" si="1"/>
        <v>423.60499999999996</v>
      </c>
      <c r="O60" s="1">
        <f>Sheet1!$G$3</f>
        <v>7.695E-4</v>
      </c>
      <c r="P60" s="1">
        <f t="shared" si="2"/>
        <v>2639.3850000000002</v>
      </c>
      <c r="Q60" s="1">
        <f>Sheet1!$G$4</f>
        <v>4.9399999999999997E-4</v>
      </c>
      <c r="R60" s="1">
        <f t="shared" si="3"/>
        <v>1694.4199999999998</v>
      </c>
    </row>
    <row r="61" spans="1:18" x14ac:dyDescent="0.3">
      <c r="A61" t="s">
        <v>108</v>
      </c>
      <c r="B61" t="s">
        <v>107</v>
      </c>
      <c r="C61">
        <v>33.829331000000003</v>
      </c>
      <c r="D61">
        <v>72.831164000000001</v>
      </c>
      <c r="E61" t="s">
        <v>63</v>
      </c>
      <c r="G61" t="s">
        <v>49</v>
      </c>
      <c r="H61" t="s">
        <v>100</v>
      </c>
      <c r="I61" t="s">
        <v>17</v>
      </c>
      <c r="J61">
        <f>3*1000000</f>
        <v>3000000</v>
      </c>
      <c r="K61" s="1">
        <f>Sheet1!$G$5</f>
        <v>2.2229999999999998E-4</v>
      </c>
      <c r="L61" s="1">
        <f t="shared" si="0"/>
        <v>666.9</v>
      </c>
      <c r="M61" s="1">
        <f>Sheet1!$G$2</f>
        <v>1.2349999999999999E-4</v>
      </c>
      <c r="N61" s="1">
        <f t="shared" si="1"/>
        <v>370.5</v>
      </c>
      <c r="O61" s="1">
        <f>Sheet1!$G$3</f>
        <v>7.695E-4</v>
      </c>
      <c r="P61" s="1">
        <f t="shared" si="2"/>
        <v>2308.5</v>
      </c>
      <c r="Q61" s="1">
        <f>Sheet1!$G$4</f>
        <v>4.9399999999999997E-4</v>
      </c>
      <c r="R61" s="1">
        <f t="shared" si="3"/>
        <v>1482</v>
      </c>
    </row>
    <row r="62" spans="1:18" x14ac:dyDescent="0.3">
      <c r="A62" t="s">
        <v>109</v>
      </c>
      <c r="B62" t="s">
        <v>107</v>
      </c>
      <c r="C62">
        <v>33.849229000000001</v>
      </c>
      <c r="D62">
        <v>72.872128000000004</v>
      </c>
      <c r="E62" t="s">
        <v>63</v>
      </c>
      <c r="G62" t="s">
        <v>103</v>
      </c>
      <c r="H62" t="s">
        <v>100</v>
      </c>
      <c r="I62" t="s">
        <v>17</v>
      </c>
      <c r="J62">
        <f>1.23*1000000</f>
        <v>1230000</v>
      </c>
      <c r="K62" s="1">
        <f>Sheet1!$G$5</f>
        <v>2.2229999999999998E-4</v>
      </c>
      <c r="L62" s="1">
        <f t="shared" si="0"/>
        <v>273.42899999999997</v>
      </c>
      <c r="M62" s="1">
        <f>Sheet1!$G$2</f>
        <v>1.2349999999999999E-4</v>
      </c>
      <c r="N62" s="1">
        <f t="shared" si="1"/>
        <v>151.905</v>
      </c>
      <c r="O62" s="1">
        <f>Sheet1!$G$3</f>
        <v>7.695E-4</v>
      </c>
      <c r="P62" s="1">
        <f t="shared" si="2"/>
        <v>946.48500000000001</v>
      </c>
      <c r="Q62" s="1">
        <f>Sheet1!$G$4</f>
        <v>4.9399999999999997E-4</v>
      </c>
      <c r="R62" s="1">
        <f t="shared" si="3"/>
        <v>607.62</v>
      </c>
    </row>
    <row r="63" spans="1:18" x14ac:dyDescent="0.3">
      <c r="A63" t="s">
        <v>110</v>
      </c>
      <c r="B63" t="s">
        <v>107</v>
      </c>
      <c r="C63">
        <v>32.717427999999998</v>
      </c>
      <c r="D63">
        <v>72.775660999999999</v>
      </c>
      <c r="E63" t="s">
        <v>63</v>
      </c>
      <c r="G63" t="s">
        <v>49</v>
      </c>
      <c r="H63" t="s">
        <v>100</v>
      </c>
      <c r="I63" t="s">
        <v>17</v>
      </c>
      <c r="J63">
        <f>2.4942*1000000</f>
        <v>2494200</v>
      </c>
      <c r="K63" s="1">
        <f>Sheet1!$G$5</f>
        <v>2.2229999999999998E-4</v>
      </c>
      <c r="L63" s="1">
        <f t="shared" si="0"/>
        <v>554.46065999999996</v>
      </c>
      <c r="M63" s="1">
        <f>Sheet1!$G$2</f>
        <v>1.2349999999999999E-4</v>
      </c>
      <c r="N63" s="1">
        <f t="shared" si="1"/>
        <v>308.03370000000001</v>
      </c>
      <c r="O63" s="1">
        <f>Sheet1!$G$3</f>
        <v>7.695E-4</v>
      </c>
      <c r="P63" s="1">
        <f t="shared" si="2"/>
        <v>1919.2869000000001</v>
      </c>
      <c r="Q63" s="1">
        <f>Sheet1!$G$4</f>
        <v>4.9399999999999997E-4</v>
      </c>
      <c r="R63" s="1">
        <f t="shared" si="3"/>
        <v>1232.1348</v>
      </c>
    </row>
    <row r="64" spans="1:18" x14ac:dyDescent="0.3">
      <c r="A64" t="s">
        <v>111</v>
      </c>
      <c r="B64" t="s">
        <v>112</v>
      </c>
      <c r="C64">
        <v>30.327399</v>
      </c>
      <c r="D64">
        <v>70.538435000000007</v>
      </c>
      <c r="E64" t="s">
        <v>63</v>
      </c>
      <c r="G64" t="s">
        <v>49</v>
      </c>
      <c r="H64" t="s">
        <v>100</v>
      </c>
      <c r="I64" t="s">
        <v>17</v>
      </c>
      <c r="J64">
        <f>2.11*1000000</f>
        <v>2110000</v>
      </c>
      <c r="K64" s="1">
        <f>Sheet1!$G$5</f>
        <v>2.2229999999999998E-4</v>
      </c>
      <c r="L64" s="1">
        <f t="shared" si="0"/>
        <v>469.05299999999994</v>
      </c>
      <c r="M64" s="1">
        <f>Sheet1!$G$2</f>
        <v>1.2349999999999999E-4</v>
      </c>
      <c r="N64" s="1">
        <f t="shared" si="1"/>
        <v>260.58499999999998</v>
      </c>
      <c r="O64" s="1">
        <f>Sheet1!$G$3</f>
        <v>7.695E-4</v>
      </c>
      <c r="P64" s="1">
        <f t="shared" si="2"/>
        <v>1623.645</v>
      </c>
      <c r="Q64" s="1">
        <f>Sheet1!$G$4</f>
        <v>4.9399999999999997E-4</v>
      </c>
      <c r="R64" s="1">
        <f t="shared" si="3"/>
        <v>1042.3399999999999</v>
      </c>
    </row>
    <row r="65" spans="1:18" x14ac:dyDescent="0.3">
      <c r="A65" t="s">
        <v>113</v>
      </c>
      <c r="B65" t="s">
        <v>112</v>
      </c>
      <c r="C65">
        <v>32.725580999999998</v>
      </c>
      <c r="D65">
        <v>72.816963000000001</v>
      </c>
      <c r="E65" t="s">
        <v>63</v>
      </c>
      <c r="G65" t="s">
        <v>49</v>
      </c>
      <c r="H65" t="s">
        <v>100</v>
      </c>
      <c r="I65" t="s">
        <v>17</v>
      </c>
      <c r="J65">
        <f>2.11*1000000</f>
        <v>2110000</v>
      </c>
      <c r="K65" s="1">
        <f>Sheet1!$G$5</f>
        <v>2.2229999999999998E-4</v>
      </c>
      <c r="L65" s="1">
        <f t="shared" si="0"/>
        <v>469.05299999999994</v>
      </c>
      <c r="M65" s="1">
        <f>Sheet1!$G$2</f>
        <v>1.2349999999999999E-4</v>
      </c>
      <c r="N65" s="1">
        <f t="shared" si="1"/>
        <v>260.58499999999998</v>
      </c>
      <c r="O65" s="1">
        <f>Sheet1!$G$3</f>
        <v>7.695E-4</v>
      </c>
      <c r="P65" s="1">
        <f t="shared" si="2"/>
        <v>1623.645</v>
      </c>
      <c r="Q65" s="1">
        <f>Sheet1!$G$4</f>
        <v>4.9399999999999997E-4</v>
      </c>
      <c r="R65" s="1">
        <f t="shared" si="3"/>
        <v>1042.3399999999999</v>
      </c>
    </row>
    <row r="66" spans="1:18" x14ac:dyDescent="0.3">
      <c r="A66" t="s">
        <v>114</v>
      </c>
      <c r="B66" t="s">
        <v>112</v>
      </c>
      <c r="C66">
        <v>25.158017999999998</v>
      </c>
      <c r="D66">
        <v>66.784087</v>
      </c>
      <c r="E66" t="s">
        <v>63</v>
      </c>
      <c r="G66" t="s">
        <v>115</v>
      </c>
      <c r="H66" t="s">
        <v>100</v>
      </c>
      <c r="I66" t="s">
        <v>17</v>
      </c>
      <c r="J66">
        <f>2.84*1000000</f>
        <v>2840000</v>
      </c>
      <c r="K66" s="1">
        <f>Sheet1!$G$5</f>
        <v>2.2229999999999998E-4</v>
      </c>
      <c r="L66" s="1">
        <f t="shared" si="0"/>
        <v>631.33199999999999</v>
      </c>
      <c r="M66" s="1">
        <f>Sheet1!$G$2</f>
        <v>1.2349999999999999E-4</v>
      </c>
      <c r="N66" s="1">
        <f t="shared" si="1"/>
        <v>350.74</v>
      </c>
      <c r="O66" s="1">
        <f>Sheet1!$G$3</f>
        <v>7.695E-4</v>
      </c>
      <c r="P66" s="1">
        <f t="shared" si="2"/>
        <v>2185.38</v>
      </c>
      <c r="Q66" s="1">
        <f>Sheet1!$G$4</f>
        <v>4.9399999999999997E-4</v>
      </c>
      <c r="R66" s="1">
        <f t="shared" si="3"/>
        <v>1402.96</v>
      </c>
    </row>
    <row r="67" spans="1:18" x14ac:dyDescent="0.3">
      <c r="A67" t="s">
        <v>116</v>
      </c>
      <c r="B67" t="s">
        <v>117</v>
      </c>
      <c r="C67">
        <v>32.644463999999999</v>
      </c>
      <c r="D67">
        <v>72.976899000000003</v>
      </c>
      <c r="E67" t="s">
        <v>63</v>
      </c>
      <c r="G67" t="s">
        <v>49</v>
      </c>
      <c r="H67" t="s">
        <v>100</v>
      </c>
      <c r="I67" t="s">
        <v>17</v>
      </c>
      <c r="J67">
        <f>0.504*1000000</f>
        <v>504000</v>
      </c>
      <c r="K67" s="1">
        <f>Sheet1!$G$5</f>
        <v>2.2229999999999998E-4</v>
      </c>
      <c r="L67" s="1">
        <f t="shared" ref="L67:L91" si="4">J67*K67</f>
        <v>112.03919999999999</v>
      </c>
      <c r="M67" s="1">
        <f>Sheet1!$G$2</f>
        <v>1.2349999999999999E-4</v>
      </c>
      <c r="N67" s="1">
        <f t="shared" ref="N67:N91" si="5">J67*M67</f>
        <v>62.244</v>
      </c>
      <c r="O67" s="1">
        <f>Sheet1!$G$3</f>
        <v>7.695E-4</v>
      </c>
      <c r="P67" s="1">
        <f t="shared" ref="P67:P91" si="6">O67*J67</f>
        <v>387.82799999999997</v>
      </c>
      <c r="Q67" s="1">
        <f>Sheet1!$G$4</f>
        <v>4.9399999999999997E-4</v>
      </c>
      <c r="R67" s="1">
        <f t="shared" ref="R67:R91" si="7">Q67*J67</f>
        <v>248.976</v>
      </c>
    </row>
    <row r="68" spans="1:18" x14ac:dyDescent="0.3">
      <c r="A68" t="s">
        <v>118</v>
      </c>
      <c r="B68" t="s">
        <v>119</v>
      </c>
      <c r="C68">
        <v>33.856388000000003</v>
      </c>
      <c r="D68">
        <v>72.863033000000001</v>
      </c>
      <c r="E68" t="s">
        <v>63</v>
      </c>
      <c r="G68" t="s">
        <v>103</v>
      </c>
      <c r="H68" t="s">
        <v>100</v>
      </c>
      <c r="I68" t="s">
        <v>17</v>
      </c>
      <c r="J68">
        <f>1.39*1000000</f>
        <v>1390000</v>
      </c>
      <c r="K68" s="1">
        <f>Sheet1!$G$5</f>
        <v>2.2229999999999998E-4</v>
      </c>
      <c r="L68" s="1">
        <f t="shared" si="4"/>
        <v>308.99699999999996</v>
      </c>
      <c r="M68" s="1">
        <f>Sheet1!$G$2</f>
        <v>1.2349999999999999E-4</v>
      </c>
      <c r="N68" s="1">
        <f t="shared" si="5"/>
        <v>171.66499999999999</v>
      </c>
      <c r="O68" s="1">
        <f>Sheet1!$G$3</f>
        <v>7.695E-4</v>
      </c>
      <c r="P68" s="1">
        <f t="shared" si="6"/>
        <v>1069.605</v>
      </c>
      <c r="Q68" s="1">
        <f>Sheet1!$G$4</f>
        <v>4.9399999999999997E-4</v>
      </c>
      <c r="R68" s="1">
        <f t="shared" si="7"/>
        <v>686.66</v>
      </c>
    </row>
    <row r="69" spans="1:18" x14ac:dyDescent="0.3">
      <c r="A69" t="s">
        <v>120</v>
      </c>
      <c r="B69" t="s">
        <v>119</v>
      </c>
      <c r="C69">
        <v>24.909361000000001</v>
      </c>
      <c r="D69">
        <v>67.474853999999993</v>
      </c>
      <c r="E69" t="s">
        <v>63</v>
      </c>
      <c r="G69" t="s">
        <v>99</v>
      </c>
      <c r="H69" t="s">
        <v>100</v>
      </c>
      <c r="I69" t="s">
        <v>17</v>
      </c>
      <c r="J69">
        <f>2.08*1000000</f>
        <v>2080000</v>
      </c>
      <c r="K69" s="1">
        <f>Sheet1!$G$5</f>
        <v>2.2229999999999998E-4</v>
      </c>
      <c r="L69" s="1">
        <f t="shared" si="4"/>
        <v>462.38399999999996</v>
      </c>
      <c r="M69" s="1">
        <f>Sheet1!$G$2</f>
        <v>1.2349999999999999E-4</v>
      </c>
      <c r="N69" s="1">
        <f t="shared" si="5"/>
        <v>256.88</v>
      </c>
      <c r="O69" s="1">
        <f>Sheet1!$G$3</f>
        <v>7.695E-4</v>
      </c>
      <c r="P69" s="1">
        <f t="shared" si="6"/>
        <v>1600.56</v>
      </c>
      <c r="Q69" s="1">
        <f>Sheet1!$G$4</f>
        <v>4.9399999999999997E-4</v>
      </c>
      <c r="R69" s="1">
        <f t="shared" si="7"/>
        <v>1027.52</v>
      </c>
    </row>
    <row r="70" spans="1:18" x14ac:dyDescent="0.3">
      <c r="A70" t="s">
        <v>121</v>
      </c>
      <c r="B70" t="s">
        <v>122</v>
      </c>
      <c r="C70">
        <v>33.690511999999998</v>
      </c>
      <c r="D70">
        <v>72.713367000000005</v>
      </c>
      <c r="E70" t="s">
        <v>63</v>
      </c>
      <c r="G70" t="s">
        <v>49</v>
      </c>
      <c r="H70" t="s">
        <v>100</v>
      </c>
      <c r="I70" t="s">
        <v>17</v>
      </c>
      <c r="J70">
        <f>3.43*1000000</f>
        <v>3430000</v>
      </c>
      <c r="K70" s="1">
        <f>Sheet1!$G$5</f>
        <v>2.2229999999999998E-4</v>
      </c>
      <c r="L70" s="1">
        <f t="shared" si="4"/>
        <v>762.48899999999992</v>
      </c>
      <c r="M70" s="1">
        <f>Sheet1!$G$2</f>
        <v>1.2349999999999999E-4</v>
      </c>
      <c r="N70" s="1">
        <f t="shared" si="5"/>
        <v>423.60499999999996</v>
      </c>
      <c r="O70" s="1">
        <f>Sheet1!$G$3</f>
        <v>7.695E-4</v>
      </c>
      <c r="P70" s="1">
        <f t="shared" si="6"/>
        <v>2639.3850000000002</v>
      </c>
      <c r="Q70" s="1">
        <f>Sheet1!$G$4</f>
        <v>4.9399999999999997E-4</v>
      </c>
      <c r="R70" s="1">
        <f t="shared" si="7"/>
        <v>1694.4199999999998</v>
      </c>
    </row>
    <row r="71" spans="1:18" x14ac:dyDescent="0.3">
      <c r="A71" t="s">
        <v>123</v>
      </c>
      <c r="B71" t="s">
        <v>124</v>
      </c>
      <c r="C71">
        <v>33.693119000000003</v>
      </c>
      <c r="D71">
        <v>72.859164000000007</v>
      </c>
      <c r="E71" t="s">
        <v>63</v>
      </c>
      <c r="G71" t="s">
        <v>125</v>
      </c>
      <c r="H71" t="s">
        <v>100</v>
      </c>
      <c r="I71" t="s">
        <v>17</v>
      </c>
      <c r="J71">
        <f>0.9*1000000</f>
        <v>900000</v>
      </c>
      <c r="K71" s="1">
        <f>Sheet1!$G$5</f>
        <v>2.2229999999999998E-4</v>
      </c>
      <c r="L71" s="1">
        <f t="shared" si="4"/>
        <v>200.07</v>
      </c>
      <c r="M71" s="1">
        <f>Sheet1!$G$2</f>
        <v>1.2349999999999999E-4</v>
      </c>
      <c r="N71" s="1">
        <f t="shared" si="5"/>
        <v>111.14999999999999</v>
      </c>
      <c r="O71" s="1">
        <f>Sheet1!$G$3</f>
        <v>7.695E-4</v>
      </c>
      <c r="P71" s="1">
        <f t="shared" si="6"/>
        <v>692.55</v>
      </c>
      <c r="Q71" s="1">
        <f>Sheet1!$G$4</f>
        <v>4.9399999999999997E-4</v>
      </c>
      <c r="R71" s="1">
        <f t="shared" si="7"/>
        <v>444.59999999999997</v>
      </c>
    </row>
    <row r="72" spans="1:18" x14ac:dyDescent="0.3">
      <c r="A72" t="s">
        <v>126</v>
      </c>
      <c r="B72" t="s">
        <v>127</v>
      </c>
      <c r="C72">
        <v>32.574803000000003</v>
      </c>
      <c r="D72">
        <v>72.565983000000003</v>
      </c>
      <c r="E72" t="s">
        <v>63</v>
      </c>
      <c r="G72" t="s">
        <v>49</v>
      </c>
      <c r="H72" t="s">
        <v>100</v>
      </c>
      <c r="I72" t="s">
        <v>17</v>
      </c>
      <c r="J72">
        <f>0.6*1000000</f>
        <v>600000</v>
      </c>
      <c r="K72" s="1">
        <f>Sheet1!$G$5</f>
        <v>2.2229999999999998E-4</v>
      </c>
      <c r="L72" s="1">
        <f t="shared" si="4"/>
        <v>133.38</v>
      </c>
      <c r="M72" s="1">
        <f>Sheet1!$G$2</f>
        <v>1.2349999999999999E-4</v>
      </c>
      <c r="N72" s="1">
        <f t="shared" si="5"/>
        <v>74.099999999999994</v>
      </c>
      <c r="O72" s="1">
        <f>Sheet1!$G$3</f>
        <v>7.695E-4</v>
      </c>
      <c r="P72" s="1">
        <f t="shared" si="6"/>
        <v>461.7</v>
      </c>
      <c r="Q72" s="1">
        <f>Sheet1!$G$4</f>
        <v>4.9399999999999997E-4</v>
      </c>
      <c r="R72" s="1">
        <f t="shared" si="7"/>
        <v>296.39999999999998</v>
      </c>
    </row>
    <row r="73" spans="1:18" x14ac:dyDescent="0.3">
      <c r="A73" t="s">
        <v>128</v>
      </c>
      <c r="B73" t="s">
        <v>129</v>
      </c>
      <c r="C73">
        <v>32.726458000000001</v>
      </c>
      <c r="D73">
        <v>73.142329000000004</v>
      </c>
      <c r="E73" t="s">
        <v>63</v>
      </c>
      <c r="G73" t="s">
        <v>49</v>
      </c>
      <c r="H73" t="s">
        <v>100</v>
      </c>
      <c r="I73" t="s">
        <v>17</v>
      </c>
      <c r="J73">
        <f>2.45*1000000</f>
        <v>2450000</v>
      </c>
      <c r="K73" s="1">
        <f>Sheet1!$G$5</f>
        <v>2.2229999999999998E-4</v>
      </c>
      <c r="L73" s="1">
        <f t="shared" si="4"/>
        <v>544.63499999999999</v>
      </c>
      <c r="M73" s="1">
        <f>Sheet1!$G$2</f>
        <v>1.2349999999999999E-4</v>
      </c>
      <c r="N73" s="1">
        <f t="shared" si="5"/>
        <v>302.57499999999999</v>
      </c>
      <c r="O73" s="1">
        <f>Sheet1!$G$3</f>
        <v>7.695E-4</v>
      </c>
      <c r="P73" s="1">
        <f t="shared" si="6"/>
        <v>1885.2750000000001</v>
      </c>
      <c r="Q73" s="1">
        <f>Sheet1!$G$4</f>
        <v>4.9399999999999997E-4</v>
      </c>
      <c r="R73" s="1">
        <f t="shared" si="7"/>
        <v>1210.3</v>
      </c>
    </row>
    <row r="74" spans="1:18" x14ac:dyDescent="0.3">
      <c r="A74" t="s">
        <v>130</v>
      </c>
      <c r="B74" t="s">
        <v>131</v>
      </c>
      <c r="C74">
        <v>33.905264000000003</v>
      </c>
      <c r="D74">
        <v>71.910520000000005</v>
      </c>
      <c r="E74" t="s">
        <v>63</v>
      </c>
      <c r="G74" t="s">
        <v>103</v>
      </c>
      <c r="H74" t="s">
        <v>100</v>
      </c>
      <c r="I74" t="s">
        <v>17</v>
      </c>
      <c r="J74">
        <f>4.5*1000000</f>
        <v>4500000</v>
      </c>
      <c r="K74" s="1">
        <f>Sheet1!$G$5</f>
        <v>2.2229999999999998E-4</v>
      </c>
      <c r="L74" s="1">
        <f t="shared" si="4"/>
        <v>1000.3499999999999</v>
      </c>
      <c r="M74" s="1">
        <f>Sheet1!$G$2</f>
        <v>1.2349999999999999E-4</v>
      </c>
      <c r="N74" s="1">
        <f t="shared" si="5"/>
        <v>555.75</v>
      </c>
      <c r="O74" s="1">
        <f>Sheet1!$G$3</f>
        <v>7.695E-4</v>
      </c>
      <c r="P74" s="1">
        <f t="shared" si="6"/>
        <v>3462.75</v>
      </c>
      <c r="Q74" s="1">
        <f>Sheet1!$G$4</f>
        <v>4.9399999999999997E-4</v>
      </c>
      <c r="R74" s="1">
        <f t="shared" si="7"/>
        <v>2223</v>
      </c>
    </row>
    <row r="75" spans="1:18" x14ac:dyDescent="0.3">
      <c r="A75" t="s">
        <v>132</v>
      </c>
      <c r="B75" t="s">
        <v>133</v>
      </c>
      <c r="C75">
        <v>33.548053000000003</v>
      </c>
      <c r="D75">
        <v>71.549004999999994</v>
      </c>
      <c r="E75" t="s">
        <v>63</v>
      </c>
      <c r="G75" t="s">
        <v>103</v>
      </c>
      <c r="H75" t="s">
        <v>100</v>
      </c>
      <c r="I75" t="s">
        <v>17</v>
      </c>
      <c r="J75">
        <f>2.95*1000000</f>
        <v>2950000</v>
      </c>
      <c r="K75" s="1">
        <f>Sheet1!$G$5</f>
        <v>2.2229999999999998E-4</v>
      </c>
      <c r="L75" s="1">
        <f t="shared" si="4"/>
        <v>655.78499999999997</v>
      </c>
      <c r="M75" s="1">
        <f>Sheet1!$G$2</f>
        <v>1.2349999999999999E-4</v>
      </c>
      <c r="N75" s="1">
        <f t="shared" si="5"/>
        <v>364.32499999999999</v>
      </c>
      <c r="O75" s="1">
        <f>Sheet1!$G$3</f>
        <v>7.695E-4</v>
      </c>
      <c r="P75" s="1">
        <f t="shared" si="6"/>
        <v>2270.0250000000001</v>
      </c>
      <c r="Q75" s="1">
        <f>Sheet1!$G$4</f>
        <v>4.9399999999999997E-4</v>
      </c>
      <c r="R75" s="1">
        <f t="shared" si="7"/>
        <v>1457.3</v>
      </c>
    </row>
    <row r="76" spans="1:18" x14ac:dyDescent="0.3">
      <c r="A76" t="s">
        <v>134</v>
      </c>
      <c r="B76" t="s">
        <v>135</v>
      </c>
      <c r="C76">
        <v>32.907938000000001</v>
      </c>
      <c r="D76">
        <v>71.590321000000003</v>
      </c>
      <c r="E76" t="s">
        <v>63</v>
      </c>
      <c r="G76" t="s">
        <v>49</v>
      </c>
      <c r="H76" t="s">
        <v>100</v>
      </c>
      <c r="I76" t="s">
        <v>17</v>
      </c>
      <c r="J76">
        <f>4.38*1000000</f>
        <v>4380000</v>
      </c>
      <c r="K76" s="1">
        <f>Sheet1!$G$5</f>
        <v>2.2229999999999998E-4</v>
      </c>
      <c r="L76" s="1">
        <f t="shared" si="4"/>
        <v>973.67399999999998</v>
      </c>
      <c r="M76" s="1">
        <f>Sheet1!$G$2</f>
        <v>1.2349999999999999E-4</v>
      </c>
      <c r="N76" s="1">
        <f t="shared" si="5"/>
        <v>540.92999999999995</v>
      </c>
      <c r="O76" s="1">
        <f>Sheet1!$G$3</f>
        <v>7.695E-4</v>
      </c>
      <c r="P76" s="1">
        <f t="shared" si="6"/>
        <v>3370.41</v>
      </c>
      <c r="Q76" s="1">
        <f>Sheet1!$G$4</f>
        <v>4.9399999999999997E-4</v>
      </c>
      <c r="R76" s="1">
        <f t="shared" si="7"/>
        <v>2163.7199999999998</v>
      </c>
    </row>
    <row r="77" spans="1:18" x14ac:dyDescent="0.3">
      <c r="A77" t="s">
        <v>136</v>
      </c>
      <c r="B77" t="s">
        <v>137</v>
      </c>
      <c r="C77">
        <v>25.053070999999999</v>
      </c>
      <c r="D77">
        <v>67.494014000000007</v>
      </c>
      <c r="E77" t="s">
        <v>63</v>
      </c>
      <c r="G77" t="s">
        <v>99</v>
      </c>
      <c r="H77" t="s">
        <v>100</v>
      </c>
      <c r="I77" t="s">
        <v>17</v>
      </c>
      <c r="J77">
        <f>8*1000000</f>
        <v>8000000</v>
      </c>
      <c r="K77" s="1">
        <f>Sheet1!$G$5</f>
        <v>2.2229999999999998E-4</v>
      </c>
      <c r="L77" s="1">
        <f t="shared" si="4"/>
        <v>1778.3999999999999</v>
      </c>
      <c r="M77" s="1">
        <f>Sheet1!$G$2</f>
        <v>1.2349999999999999E-4</v>
      </c>
      <c r="N77" s="1">
        <f t="shared" si="5"/>
        <v>988</v>
      </c>
      <c r="O77" s="1">
        <f>Sheet1!$G$3</f>
        <v>7.695E-4</v>
      </c>
      <c r="P77" s="1">
        <f t="shared" si="6"/>
        <v>6156</v>
      </c>
      <c r="Q77" s="1">
        <f>Sheet1!$G$4</f>
        <v>4.9399999999999997E-4</v>
      </c>
      <c r="R77" s="1">
        <f t="shared" si="7"/>
        <v>3952</v>
      </c>
    </row>
    <row r="78" spans="1:18" x14ac:dyDescent="0.3">
      <c r="A78" t="s">
        <v>138</v>
      </c>
      <c r="B78" t="s">
        <v>139</v>
      </c>
      <c r="C78">
        <v>25.153279999999999</v>
      </c>
      <c r="D78">
        <v>67.672503000000006</v>
      </c>
      <c r="E78" t="s">
        <v>63</v>
      </c>
      <c r="G78" t="s">
        <v>99</v>
      </c>
      <c r="H78" t="s">
        <v>100</v>
      </c>
      <c r="I78" t="s">
        <v>17</v>
      </c>
      <c r="J78">
        <f>1.02*1000000</f>
        <v>1020000</v>
      </c>
      <c r="K78" s="1">
        <f>Sheet1!$G$5</f>
        <v>2.2229999999999998E-4</v>
      </c>
      <c r="L78" s="1">
        <f t="shared" si="4"/>
        <v>226.74599999999998</v>
      </c>
      <c r="M78" s="1">
        <f>Sheet1!$G$2</f>
        <v>1.2349999999999999E-4</v>
      </c>
      <c r="N78" s="1">
        <f t="shared" si="5"/>
        <v>125.97</v>
      </c>
      <c r="O78" s="1">
        <f>Sheet1!$G$3</f>
        <v>7.695E-4</v>
      </c>
      <c r="P78" s="1">
        <f t="shared" si="6"/>
        <v>784.89</v>
      </c>
      <c r="Q78" s="1">
        <f>Sheet1!$G$4</f>
        <v>4.9399999999999997E-4</v>
      </c>
      <c r="R78" s="1">
        <f t="shared" si="7"/>
        <v>503.88</v>
      </c>
    </row>
    <row r="79" spans="1:18" x14ac:dyDescent="0.3">
      <c r="A79" t="s">
        <v>140</v>
      </c>
      <c r="B79" t="s">
        <v>141</v>
      </c>
      <c r="C79">
        <v>25.139195999999998</v>
      </c>
      <c r="D79">
        <v>66.914996000000002</v>
      </c>
      <c r="E79" t="s">
        <v>63</v>
      </c>
      <c r="G79" t="s">
        <v>115</v>
      </c>
      <c r="H79" t="s">
        <v>100</v>
      </c>
      <c r="I79" t="s">
        <v>17</v>
      </c>
      <c r="J79">
        <f>3*1000000</f>
        <v>3000000</v>
      </c>
      <c r="K79" s="1">
        <f>Sheet1!$G$5</f>
        <v>2.2229999999999998E-4</v>
      </c>
      <c r="L79" s="1">
        <f t="shared" si="4"/>
        <v>666.9</v>
      </c>
      <c r="M79" s="1">
        <f>Sheet1!$G$2</f>
        <v>1.2349999999999999E-4</v>
      </c>
      <c r="N79" s="1">
        <f t="shared" si="5"/>
        <v>370.5</v>
      </c>
      <c r="O79" s="1">
        <f>Sheet1!$G$3</f>
        <v>7.695E-4</v>
      </c>
      <c r="P79" s="1">
        <f t="shared" si="6"/>
        <v>2308.5</v>
      </c>
      <c r="Q79" s="1">
        <f>Sheet1!$G$4</f>
        <v>4.9399999999999997E-4</v>
      </c>
      <c r="R79" s="1">
        <f t="shared" si="7"/>
        <v>1482</v>
      </c>
    </row>
    <row r="80" spans="1:18" x14ac:dyDescent="0.3">
      <c r="A80" t="s">
        <v>142</v>
      </c>
      <c r="B80" t="s">
        <v>143</v>
      </c>
      <c r="C80">
        <v>32.387991</v>
      </c>
      <c r="D80">
        <v>72.14237</v>
      </c>
      <c r="E80" t="s">
        <v>63</v>
      </c>
      <c r="G80" t="s">
        <v>49</v>
      </c>
      <c r="H80" t="s">
        <v>100</v>
      </c>
      <c r="I80" t="s">
        <v>17</v>
      </c>
      <c r="J80">
        <f>1.3*1000000</f>
        <v>1300000</v>
      </c>
      <c r="K80" s="1">
        <f>Sheet1!$G$5</f>
        <v>2.2229999999999998E-4</v>
      </c>
      <c r="L80" s="1">
        <f t="shared" si="4"/>
        <v>288.98999999999995</v>
      </c>
      <c r="M80" s="1">
        <f>Sheet1!$G$2</f>
        <v>1.2349999999999999E-4</v>
      </c>
      <c r="N80" s="1">
        <f t="shared" si="5"/>
        <v>160.54999999999998</v>
      </c>
      <c r="O80" s="1">
        <f>Sheet1!$G$3</f>
        <v>7.695E-4</v>
      </c>
      <c r="P80" s="1">
        <f t="shared" si="6"/>
        <v>1000.35</v>
      </c>
      <c r="Q80" s="1">
        <f>Sheet1!$G$4</f>
        <v>4.9399999999999997E-4</v>
      </c>
      <c r="R80" s="1">
        <f t="shared" si="7"/>
        <v>642.19999999999993</v>
      </c>
    </row>
    <row r="81" spans="1:18" x14ac:dyDescent="0.3">
      <c r="A81" t="s">
        <v>144</v>
      </c>
      <c r="B81" t="s">
        <v>145</v>
      </c>
      <c r="C81">
        <v>25.154011000000001</v>
      </c>
      <c r="D81">
        <v>67.703129000000004</v>
      </c>
      <c r="E81" t="s">
        <v>63</v>
      </c>
      <c r="G81" t="s">
        <v>99</v>
      </c>
      <c r="H81" t="s">
        <v>100</v>
      </c>
      <c r="I81" t="s">
        <v>17</v>
      </c>
      <c r="J81">
        <f>0.6*1000000</f>
        <v>600000</v>
      </c>
      <c r="K81" s="1">
        <f>Sheet1!$G$5</f>
        <v>2.2229999999999998E-4</v>
      </c>
      <c r="L81" s="1">
        <f t="shared" si="4"/>
        <v>133.38</v>
      </c>
      <c r="M81" s="1">
        <f>Sheet1!$G$2</f>
        <v>1.2349999999999999E-4</v>
      </c>
      <c r="N81" s="1">
        <f t="shared" si="5"/>
        <v>74.099999999999994</v>
      </c>
      <c r="O81" s="1">
        <f>Sheet1!$G$3</f>
        <v>7.695E-4</v>
      </c>
      <c r="P81" s="1">
        <f t="shared" si="6"/>
        <v>461.7</v>
      </c>
      <c r="Q81" s="1">
        <f>Sheet1!$G$4</f>
        <v>4.9399999999999997E-4</v>
      </c>
      <c r="R81" s="1">
        <f t="shared" si="7"/>
        <v>296.39999999999998</v>
      </c>
    </row>
    <row r="82" spans="1:18" x14ac:dyDescent="0.3">
      <c r="A82" t="s">
        <v>146</v>
      </c>
      <c r="B82" t="s">
        <v>147</v>
      </c>
      <c r="C82">
        <v>27.669985</v>
      </c>
      <c r="D82">
        <v>68.891452000000001</v>
      </c>
      <c r="E82" t="s">
        <v>63</v>
      </c>
      <c r="G82" t="s">
        <v>99</v>
      </c>
      <c r="H82" t="s">
        <v>100</v>
      </c>
      <c r="I82" t="s">
        <v>17</v>
      </c>
      <c r="J82">
        <f>1.8*1000000</f>
        <v>1800000</v>
      </c>
      <c r="K82" s="1">
        <f>Sheet1!$G$5</f>
        <v>2.2229999999999998E-4</v>
      </c>
      <c r="L82" s="1">
        <f t="shared" si="4"/>
        <v>400.14</v>
      </c>
      <c r="M82" s="1">
        <f>Sheet1!$G$2</f>
        <v>1.2349999999999999E-4</v>
      </c>
      <c r="N82" s="1">
        <f t="shared" si="5"/>
        <v>222.29999999999998</v>
      </c>
      <c r="O82" s="1">
        <f>Sheet1!$G$3</f>
        <v>7.695E-4</v>
      </c>
      <c r="P82" s="1">
        <f t="shared" si="6"/>
        <v>1385.1</v>
      </c>
      <c r="Q82" s="1">
        <f>Sheet1!$G$4</f>
        <v>4.9399999999999997E-4</v>
      </c>
      <c r="R82" s="1">
        <f t="shared" si="7"/>
        <v>889.19999999999993</v>
      </c>
    </row>
    <row r="83" spans="1:18" x14ac:dyDescent="0.3">
      <c r="A83" t="s">
        <v>148</v>
      </c>
      <c r="B83" t="s">
        <v>149</v>
      </c>
      <c r="C83">
        <v>24.648057000000001</v>
      </c>
      <c r="D83">
        <v>67.843569000000002</v>
      </c>
      <c r="E83" t="s">
        <v>63</v>
      </c>
      <c r="G83" t="s">
        <v>99</v>
      </c>
      <c r="H83" t="s">
        <v>100</v>
      </c>
      <c r="I83" t="s">
        <v>17</v>
      </c>
      <c r="J83">
        <f>0.675*1000000</f>
        <v>675000</v>
      </c>
      <c r="K83" s="1">
        <f>Sheet1!$G$5</f>
        <v>2.2229999999999998E-4</v>
      </c>
      <c r="L83" s="1">
        <f t="shared" si="4"/>
        <v>150.05249999999998</v>
      </c>
      <c r="M83" s="1">
        <f>Sheet1!$G$2</f>
        <v>1.2349999999999999E-4</v>
      </c>
      <c r="N83" s="1">
        <f t="shared" si="5"/>
        <v>83.362499999999997</v>
      </c>
      <c r="O83" s="1">
        <f>Sheet1!$G$3</f>
        <v>7.695E-4</v>
      </c>
      <c r="P83" s="1">
        <f t="shared" si="6"/>
        <v>519.41250000000002</v>
      </c>
      <c r="Q83" s="1">
        <f>Sheet1!$G$4</f>
        <v>4.9399999999999997E-4</v>
      </c>
      <c r="R83" s="1">
        <f t="shared" si="7"/>
        <v>333.45</v>
      </c>
    </row>
    <row r="84" spans="1:18" x14ac:dyDescent="0.3">
      <c r="A84" t="s">
        <v>150</v>
      </c>
      <c r="B84" t="s">
        <v>151</v>
      </c>
      <c r="C84">
        <v>25.346920000000001</v>
      </c>
      <c r="D84">
        <v>68.396246000000005</v>
      </c>
      <c r="E84" t="s">
        <v>63</v>
      </c>
      <c r="G84" t="s">
        <v>99</v>
      </c>
      <c r="H84" t="s">
        <v>100</v>
      </c>
      <c r="I84" t="s">
        <v>17</v>
      </c>
      <c r="J84">
        <f>0.576*1000000</f>
        <v>576000</v>
      </c>
      <c r="K84" s="1">
        <f>Sheet1!$G$5</f>
        <v>2.2229999999999998E-4</v>
      </c>
      <c r="L84" s="1">
        <f t="shared" si="4"/>
        <v>128.04479999999998</v>
      </c>
      <c r="M84" s="1">
        <f>Sheet1!$G$2</f>
        <v>1.2349999999999999E-4</v>
      </c>
      <c r="N84" s="1">
        <f t="shared" si="5"/>
        <v>71.135999999999996</v>
      </c>
      <c r="O84" s="1">
        <f>Sheet1!$G$3</f>
        <v>7.695E-4</v>
      </c>
      <c r="P84" s="1">
        <f t="shared" si="6"/>
        <v>443.23200000000003</v>
      </c>
      <c r="Q84" s="1">
        <f>Sheet1!$G$4</f>
        <v>4.9399999999999997E-4</v>
      </c>
      <c r="R84" s="1">
        <f t="shared" si="7"/>
        <v>284.54399999999998</v>
      </c>
    </row>
    <row r="85" spans="1:18" x14ac:dyDescent="0.3">
      <c r="A85" t="s">
        <v>152</v>
      </c>
      <c r="B85" t="s">
        <v>175</v>
      </c>
      <c r="C85">
        <v>24.44605</v>
      </c>
      <c r="D85">
        <v>83.075826000000006</v>
      </c>
      <c r="E85" t="s">
        <v>63</v>
      </c>
      <c r="G85" t="s">
        <v>40</v>
      </c>
      <c r="H85" t="s">
        <v>41</v>
      </c>
      <c r="I85" t="s">
        <v>17</v>
      </c>
      <c r="J85">
        <f>1.59*1000000</f>
        <v>1590000</v>
      </c>
      <c r="K85" s="1">
        <f>Sheet1!$G$5</f>
        <v>2.2229999999999998E-4</v>
      </c>
      <c r="L85" s="1">
        <f t="shared" si="4"/>
        <v>353.45699999999999</v>
      </c>
      <c r="M85" s="1">
        <f>Sheet1!$G$2</f>
        <v>1.2349999999999999E-4</v>
      </c>
      <c r="N85" s="1">
        <f t="shared" si="5"/>
        <v>196.36499999999998</v>
      </c>
      <c r="O85" s="1">
        <f>Sheet1!$G$3</f>
        <v>7.695E-4</v>
      </c>
      <c r="P85" s="1">
        <f t="shared" si="6"/>
        <v>1223.5050000000001</v>
      </c>
      <c r="Q85" s="1">
        <f>Sheet1!$G$4</f>
        <v>4.9399999999999997E-4</v>
      </c>
      <c r="R85" s="1">
        <f t="shared" si="7"/>
        <v>785.45999999999992</v>
      </c>
    </row>
    <row r="86" spans="1:18" x14ac:dyDescent="0.3">
      <c r="A86" t="s">
        <v>153</v>
      </c>
      <c r="B86" t="s">
        <v>175</v>
      </c>
      <c r="C86">
        <v>24.639240000000001</v>
      </c>
      <c r="D86">
        <v>83.101967000000002</v>
      </c>
      <c r="E86" t="s">
        <v>63</v>
      </c>
      <c r="G86" t="s">
        <v>40</v>
      </c>
      <c r="H86" t="s">
        <v>41</v>
      </c>
      <c r="I86" t="s">
        <v>17</v>
      </c>
      <c r="J86">
        <v>0</v>
      </c>
      <c r="K86" s="1">
        <f>Sheet1!$G$5</f>
        <v>2.2229999999999998E-4</v>
      </c>
      <c r="L86" s="1">
        <f t="shared" si="4"/>
        <v>0</v>
      </c>
      <c r="M86" s="1">
        <f>Sheet1!$G$2</f>
        <v>1.2349999999999999E-4</v>
      </c>
      <c r="N86" s="1">
        <f t="shared" si="5"/>
        <v>0</v>
      </c>
      <c r="O86" s="1">
        <f>Sheet1!$G$3</f>
        <v>7.695E-4</v>
      </c>
      <c r="P86" s="1">
        <f t="shared" si="6"/>
        <v>0</v>
      </c>
      <c r="Q86" s="1">
        <f>Sheet1!$G$4</f>
        <v>4.9399999999999997E-4</v>
      </c>
      <c r="R86" s="1">
        <f t="shared" si="7"/>
        <v>0</v>
      </c>
    </row>
    <row r="87" spans="1:18" x14ac:dyDescent="0.3">
      <c r="A87" t="s">
        <v>154</v>
      </c>
      <c r="B87" t="s">
        <v>175</v>
      </c>
      <c r="C87">
        <v>25.087703999999999</v>
      </c>
      <c r="D87">
        <v>82.902584000000004</v>
      </c>
      <c r="E87" t="s">
        <v>14</v>
      </c>
      <c r="G87" t="s">
        <v>40</v>
      </c>
      <c r="H87" t="s">
        <v>41</v>
      </c>
      <c r="I87" t="s">
        <v>17</v>
      </c>
      <c r="J87">
        <v>0</v>
      </c>
      <c r="K87" s="1">
        <f>Sheet1!$G$5</f>
        <v>2.2229999999999998E-4</v>
      </c>
      <c r="L87" s="1">
        <f t="shared" si="4"/>
        <v>0</v>
      </c>
      <c r="M87" s="1">
        <f>Sheet1!$G$2</f>
        <v>1.2349999999999999E-4</v>
      </c>
      <c r="N87" s="1">
        <f t="shared" si="5"/>
        <v>0</v>
      </c>
      <c r="O87" s="1">
        <f>Sheet1!$G$3</f>
        <v>7.695E-4</v>
      </c>
      <c r="P87" s="1">
        <f t="shared" si="6"/>
        <v>0</v>
      </c>
      <c r="Q87" s="1">
        <f>Sheet1!$G$4</f>
        <v>4.9399999999999997E-4</v>
      </c>
      <c r="R87" s="1">
        <f t="shared" si="7"/>
        <v>0</v>
      </c>
    </row>
    <row r="88" spans="1:18" x14ac:dyDescent="0.3">
      <c r="A88" t="s">
        <v>155</v>
      </c>
      <c r="B88" t="s">
        <v>175</v>
      </c>
      <c r="C88">
        <v>25.229552999999999</v>
      </c>
      <c r="D88">
        <v>81.781505999999993</v>
      </c>
      <c r="E88" t="s">
        <v>14</v>
      </c>
      <c r="G88" t="s">
        <v>40</v>
      </c>
      <c r="H88" t="s">
        <v>41</v>
      </c>
      <c r="I88" t="s">
        <v>17</v>
      </c>
      <c r="J88">
        <v>0</v>
      </c>
      <c r="K88" s="1">
        <f>Sheet1!$G$5</f>
        <v>2.2229999999999998E-4</v>
      </c>
      <c r="L88" s="1">
        <f t="shared" si="4"/>
        <v>0</v>
      </c>
      <c r="M88" s="1">
        <f>Sheet1!$G$2</f>
        <v>1.2349999999999999E-4</v>
      </c>
      <c r="N88" s="1">
        <f t="shared" si="5"/>
        <v>0</v>
      </c>
      <c r="O88" s="1">
        <f>Sheet1!$G$3</f>
        <v>7.695E-4</v>
      </c>
      <c r="P88" s="1">
        <f t="shared" si="6"/>
        <v>0</v>
      </c>
      <c r="Q88" s="1">
        <f>Sheet1!$G$4</f>
        <v>4.9399999999999997E-4</v>
      </c>
      <c r="R88" s="1">
        <f t="shared" si="7"/>
        <v>0</v>
      </c>
    </row>
    <row r="89" spans="1:18" x14ac:dyDescent="0.3">
      <c r="A89" t="s">
        <v>156</v>
      </c>
      <c r="B89" t="s">
        <v>175</v>
      </c>
      <c r="C89">
        <v>22.392434999999999</v>
      </c>
      <c r="D89">
        <v>87.015888000000004</v>
      </c>
      <c r="E89" t="s">
        <v>14</v>
      </c>
      <c r="G89" t="s">
        <v>42</v>
      </c>
      <c r="H89" t="s">
        <v>41</v>
      </c>
      <c r="I89" t="s">
        <v>17</v>
      </c>
      <c r="J89">
        <v>0</v>
      </c>
      <c r="K89" s="1">
        <f>Sheet1!$G$5</f>
        <v>2.2229999999999998E-4</v>
      </c>
      <c r="L89" s="1">
        <f t="shared" si="4"/>
        <v>0</v>
      </c>
      <c r="M89" s="1">
        <f>Sheet1!$G$2</f>
        <v>1.2349999999999999E-4</v>
      </c>
      <c r="N89" s="1">
        <f t="shared" si="5"/>
        <v>0</v>
      </c>
      <c r="O89" s="1">
        <f>Sheet1!$G$3</f>
        <v>7.695E-4</v>
      </c>
      <c r="P89" s="1">
        <f t="shared" si="6"/>
        <v>0</v>
      </c>
      <c r="Q89" s="1">
        <f>Sheet1!$G$4</f>
        <v>4.9399999999999997E-4</v>
      </c>
      <c r="R89" s="1">
        <f t="shared" si="7"/>
        <v>0</v>
      </c>
    </row>
    <row r="90" spans="1:18" x14ac:dyDescent="0.3">
      <c r="A90" t="s">
        <v>157</v>
      </c>
      <c r="B90" t="s">
        <v>175</v>
      </c>
      <c r="C90">
        <v>27.960795000000001</v>
      </c>
      <c r="D90">
        <v>78.081590000000006</v>
      </c>
      <c r="E90" t="s">
        <v>14</v>
      </c>
      <c r="G90" t="s">
        <v>40</v>
      </c>
      <c r="H90" t="s">
        <v>41</v>
      </c>
      <c r="I90" t="s">
        <v>17</v>
      </c>
      <c r="J90">
        <v>0</v>
      </c>
      <c r="K90" s="1">
        <f>Sheet1!$G$5</f>
        <v>2.2229999999999998E-4</v>
      </c>
      <c r="L90" s="1">
        <f t="shared" si="4"/>
        <v>0</v>
      </c>
      <c r="M90" s="1">
        <f>Sheet1!$G$2</f>
        <v>1.2349999999999999E-4</v>
      </c>
      <c r="N90" s="1">
        <f t="shared" si="5"/>
        <v>0</v>
      </c>
      <c r="O90" s="1">
        <f>Sheet1!$G$3</f>
        <v>7.695E-4</v>
      </c>
      <c r="P90" s="1">
        <f t="shared" si="6"/>
        <v>0</v>
      </c>
      <c r="Q90" s="1">
        <f>Sheet1!$G$4</f>
        <v>4.9399999999999997E-4</v>
      </c>
      <c r="R90" s="1">
        <f t="shared" si="7"/>
        <v>0</v>
      </c>
    </row>
    <row r="91" spans="1:18" x14ac:dyDescent="0.3">
      <c r="A91" t="s">
        <v>158</v>
      </c>
      <c r="B91" t="s">
        <v>175</v>
      </c>
      <c r="C91">
        <v>23.718837000000001</v>
      </c>
      <c r="D91">
        <v>86.954305000000005</v>
      </c>
      <c r="E91" t="s">
        <v>14</v>
      </c>
      <c r="G91" t="s">
        <v>42</v>
      </c>
      <c r="H91" t="s">
        <v>41</v>
      </c>
      <c r="I91" t="s">
        <v>17</v>
      </c>
      <c r="J91">
        <v>0</v>
      </c>
      <c r="K91" s="1">
        <f>Sheet1!$G$5</f>
        <v>2.2229999999999998E-4</v>
      </c>
      <c r="L91" s="1">
        <f t="shared" si="4"/>
        <v>0</v>
      </c>
      <c r="M91" s="1">
        <f>Sheet1!$G$2</f>
        <v>1.2349999999999999E-4</v>
      </c>
      <c r="N91" s="1">
        <f t="shared" si="5"/>
        <v>0</v>
      </c>
      <c r="O91" s="1">
        <f>Sheet1!$G$3</f>
        <v>7.695E-4</v>
      </c>
      <c r="P91" s="1">
        <f t="shared" si="6"/>
        <v>0</v>
      </c>
      <c r="Q91" s="1">
        <f>Sheet1!$G$4</f>
        <v>4.9399999999999997E-4</v>
      </c>
      <c r="R91" s="1">
        <f t="shared" si="7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E579-D6C4-4B97-8805-1658F3D564E4}">
  <dimension ref="A1:J11"/>
  <sheetViews>
    <sheetView workbookViewId="0">
      <selection activeCell="J10" sqref="J10"/>
    </sheetView>
  </sheetViews>
  <sheetFormatPr defaultRowHeight="14.4" x14ac:dyDescent="0.3"/>
  <cols>
    <col min="7" max="7" width="42" bestFit="1" customWidth="1"/>
  </cols>
  <sheetData>
    <row r="1" spans="1:10" x14ac:dyDescent="0.3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2" t="s">
        <v>191</v>
      </c>
    </row>
    <row r="2" spans="1:10" x14ac:dyDescent="0.3">
      <c r="A2" s="1" t="s">
        <v>192</v>
      </c>
      <c r="B2" s="3">
        <v>130</v>
      </c>
      <c r="C2" s="1" t="s">
        <v>193</v>
      </c>
      <c r="D2" s="1" t="s">
        <v>194</v>
      </c>
      <c r="E2" s="1">
        <v>0.95</v>
      </c>
      <c r="F2" s="1">
        <f>E2*B2</f>
        <v>123.5</v>
      </c>
      <c r="G2" s="1">
        <f>F2/1000000</f>
        <v>1.2349999999999999E-4</v>
      </c>
      <c r="H2" s="4"/>
    </row>
    <row r="3" spans="1:10" x14ac:dyDescent="0.3">
      <c r="A3" s="1" t="s">
        <v>195</v>
      </c>
      <c r="B3" s="3">
        <v>810</v>
      </c>
      <c r="C3" s="1" t="s">
        <v>193</v>
      </c>
      <c r="D3" s="1" t="s">
        <v>194</v>
      </c>
      <c r="E3" s="1">
        <v>0.95</v>
      </c>
      <c r="F3" s="1">
        <f t="shared" ref="F3:F7" si="0">E3*B3</f>
        <v>769.5</v>
      </c>
      <c r="G3" s="1">
        <f t="shared" ref="G3:G7" si="1">F3/1000000</f>
        <v>7.695E-4</v>
      </c>
      <c r="H3" s="2"/>
    </row>
    <row r="4" spans="1:10" x14ac:dyDescent="0.3">
      <c r="A4" s="1" t="s">
        <v>196</v>
      </c>
      <c r="B4" s="3">
        <v>520</v>
      </c>
      <c r="C4" s="1" t="s">
        <v>193</v>
      </c>
      <c r="D4" s="1" t="s">
        <v>194</v>
      </c>
      <c r="E4" s="1">
        <v>0.95</v>
      </c>
      <c r="F4" s="1">
        <f t="shared" si="0"/>
        <v>494</v>
      </c>
      <c r="G4" s="1">
        <f t="shared" si="1"/>
        <v>4.9399999999999997E-4</v>
      </c>
      <c r="H4" s="2"/>
    </row>
    <row r="5" spans="1:10" x14ac:dyDescent="0.3">
      <c r="A5" s="1" t="s">
        <v>197</v>
      </c>
      <c r="B5" s="3">
        <v>234</v>
      </c>
      <c r="C5" s="1" t="s">
        <v>193</v>
      </c>
      <c r="D5" s="1" t="s">
        <v>194</v>
      </c>
      <c r="E5" s="1">
        <v>0.95</v>
      </c>
      <c r="F5" s="1">
        <f t="shared" si="0"/>
        <v>222.29999999999998</v>
      </c>
      <c r="G5" s="1">
        <f t="shared" si="1"/>
        <v>2.2229999999999998E-4</v>
      </c>
      <c r="H5" s="4"/>
    </row>
    <row r="6" spans="1:10" x14ac:dyDescent="0.3">
      <c r="A6" s="1" t="s">
        <v>198</v>
      </c>
      <c r="B6" s="5">
        <v>260</v>
      </c>
      <c r="C6" s="1" t="s">
        <v>193</v>
      </c>
      <c r="D6" s="1" t="s">
        <v>194</v>
      </c>
      <c r="E6" s="1">
        <v>0.95</v>
      </c>
      <c r="F6" s="1">
        <f t="shared" si="0"/>
        <v>247</v>
      </c>
      <c r="G6" s="1">
        <f t="shared" si="1"/>
        <v>2.4699999999999999E-4</v>
      </c>
    </row>
    <row r="7" spans="1:10" x14ac:dyDescent="0.3">
      <c r="A7" s="1" t="s">
        <v>199</v>
      </c>
      <c r="B7" s="3">
        <v>3</v>
      </c>
      <c r="C7" s="1" t="s">
        <v>193</v>
      </c>
      <c r="D7" s="1" t="s">
        <v>194</v>
      </c>
      <c r="E7" s="1">
        <v>0.95</v>
      </c>
      <c r="F7" s="1">
        <f t="shared" si="0"/>
        <v>2.8499999999999996</v>
      </c>
      <c r="G7" s="1">
        <f t="shared" si="1"/>
        <v>2.8499999999999998E-6</v>
      </c>
    </row>
    <row r="8" spans="1:10" x14ac:dyDescent="0.3">
      <c r="A8" s="1" t="s">
        <v>200</v>
      </c>
    </row>
    <row r="9" spans="1:10" x14ac:dyDescent="0.3">
      <c r="A9" s="1" t="s">
        <v>201</v>
      </c>
    </row>
    <row r="10" spans="1:10" ht="409.6" x14ac:dyDescent="0.3">
      <c r="A10" s="6" t="s">
        <v>202</v>
      </c>
      <c r="B10" s="7" t="s">
        <v>203</v>
      </c>
      <c r="J10">
        <v>1000000</v>
      </c>
    </row>
    <row r="11" spans="1:10" ht="201.6" x14ac:dyDescent="0.3">
      <c r="A11" s="1" t="s">
        <v>204</v>
      </c>
      <c r="B11" s="8" t="s">
        <v>205</v>
      </c>
    </row>
  </sheetData>
  <hyperlinks>
    <hyperlink ref="B11" r:id="rId1" xr:uid="{C6822470-1EC2-497C-8EC6-64D620803BBD}"/>
    <hyperlink ref="B10" r:id="rId2" xr:uid="{0F8F1471-ACBB-4CFD-8895-C62AD65904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cement_plants_main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Khizer Zakir</dc:creator>
  <cp:lastModifiedBy>Zakir Khizer</cp:lastModifiedBy>
  <dcterms:created xsi:type="dcterms:W3CDTF">2025-11-08T12:32:09Z</dcterms:created>
  <dcterms:modified xsi:type="dcterms:W3CDTF">2025-11-08T12:51:32Z</dcterms:modified>
</cp:coreProperties>
</file>