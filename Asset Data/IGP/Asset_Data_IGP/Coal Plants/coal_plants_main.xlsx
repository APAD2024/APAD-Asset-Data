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Coal Plants\"/>
    </mc:Choice>
  </mc:AlternateContent>
  <xr:revisionPtr revIDLastSave="0" documentId="13_ncr:1_{53D38C1E-291E-4331-95AF-D1C59C234548}" xr6:coauthVersionLast="47" xr6:coauthVersionMax="47" xr10:uidLastSave="{00000000-0000-0000-0000-000000000000}"/>
  <bookViews>
    <workbookView xWindow="-96" yWindow="0" windowWidth="11712" windowHeight="12336" xr2:uid="{E8452AE1-DF3A-49AB-8A59-5FF8DBEFBD01}"/>
  </bookViews>
  <sheets>
    <sheet name="coal_plants_mai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O108" i="1"/>
  <c r="P108" i="1" s="1"/>
  <c r="Q108" i="1"/>
  <c r="R108" i="1"/>
  <c r="S108" i="1"/>
  <c r="T108" i="1"/>
  <c r="N108" i="1"/>
  <c r="M108" i="1"/>
  <c r="K108" i="1" a="1"/>
  <c r="K108" i="1"/>
  <c r="L108" i="1"/>
  <c r="S82" i="1"/>
  <c r="S83" i="1"/>
  <c r="S84" i="1"/>
  <c r="S85" i="1"/>
  <c r="S86" i="1"/>
  <c r="S87" i="1"/>
  <c r="S88" i="1"/>
  <c r="S89" i="1"/>
  <c r="Q82" i="1"/>
  <c r="Q83" i="1"/>
  <c r="Q84" i="1"/>
  <c r="Q85" i="1"/>
  <c r="Q86" i="1"/>
  <c r="Q87" i="1"/>
  <c r="Q88" i="1"/>
  <c r="O82" i="1"/>
  <c r="O83" i="1"/>
  <c r="O84" i="1"/>
  <c r="O85" i="1"/>
  <c r="O86" i="1"/>
  <c r="O87" i="1"/>
  <c r="O88" i="1"/>
  <c r="M82" i="1"/>
  <c r="M83" i="1"/>
  <c r="M84" i="1"/>
  <c r="M85" i="1"/>
  <c r="M86" i="1"/>
  <c r="M87" i="1"/>
  <c r="L102" i="1"/>
  <c r="L103" i="1"/>
  <c r="L104" i="1"/>
  <c r="L105" i="1"/>
  <c r="K83" i="1" a="1"/>
  <c r="K83" i="1" s="1"/>
  <c r="L83" i="1" s="1"/>
  <c r="K84" i="1" a="1"/>
  <c r="K84" i="1" s="1"/>
  <c r="L84" i="1" s="1"/>
  <c r="K85" i="1" a="1"/>
  <c r="K85" i="1" s="1"/>
  <c r="L85" i="1" s="1"/>
  <c r="K86" i="1" a="1"/>
  <c r="K86" i="1"/>
  <c r="L86" i="1" s="1"/>
  <c r="K87" i="1" a="1"/>
  <c r="K87" i="1"/>
  <c r="L87" i="1" s="1"/>
  <c r="K88" i="1" a="1"/>
  <c r="K88" i="1"/>
  <c r="L88" i="1" s="1"/>
  <c r="K89" i="1" a="1"/>
  <c r="K89" i="1" s="1"/>
  <c r="L89" i="1" s="1"/>
  <c r="K90" i="1" a="1"/>
  <c r="K90" i="1"/>
  <c r="L90" i="1" s="1"/>
  <c r="K91" i="1" a="1"/>
  <c r="K91" i="1"/>
  <c r="L91" i="1" s="1"/>
  <c r="K92" i="1" a="1"/>
  <c r="K92" i="1"/>
  <c r="L92" i="1" s="1"/>
  <c r="K93" i="1" a="1"/>
  <c r="K93" i="1" s="1"/>
  <c r="L93" i="1" s="1"/>
  <c r="K94" i="1" a="1"/>
  <c r="K94" i="1"/>
  <c r="L94" i="1" s="1"/>
  <c r="K95" i="1" a="1"/>
  <c r="K95" i="1"/>
  <c r="L95" i="1" s="1"/>
  <c r="K96" i="1" a="1"/>
  <c r="K96" i="1"/>
  <c r="L96" i="1" s="1"/>
  <c r="K97" i="1" a="1"/>
  <c r="K97" i="1"/>
  <c r="L97" i="1" s="1"/>
  <c r="K98" i="1" a="1"/>
  <c r="K98" i="1"/>
  <c r="L98" i="1" s="1"/>
  <c r="K99" i="1" a="1"/>
  <c r="K99" i="1"/>
  <c r="L99" i="1" s="1"/>
  <c r="K100" i="1" a="1"/>
  <c r="K100" i="1"/>
  <c r="L100" i="1" s="1"/>
  <c r="K101" i="1" a="1"/>
  <c r="K101" i="1" s="1"/>
  <c r="L101" i="1" s="1"/>
  <c r="K102" i="1" a="1"/>
  <c r="K102" i="1"/>
  <c r="K103" i="1" a="1"/>
  <c r="K103" i="1"/>
  <c r="K104" i="1" a="1"/>
  <c r="K104" i="1"/>
  <c r="K105" i="1" a="1"/>
  <c r="K105" i="1"/>
  <c r="K106" i="1" a="1"/>
  <c r="K106" i="1"/>
  <c r="L106" i="1" s="1"/>
  <c r="K107" i="1" a="1"/>
  <c r="K107" i="1"/>
  <c r="L107" i="1" s="1"/>
  <c r="K3" i="1" a="1"/>
  <c r="K3" i="1" s="1"/>
  <c r="L3" i="1" s="1"/>
  <c r="K4" i="1" a="1"/>
  <c r="K4" i="1" s="1"/>
  <c r="L4" i="1" s="1"/>
  <c r="K5" i="1" a="1"/>
  <c r="K5" i="1" s="1"/>
  <c r="L5" i="1" s="1"/>
  <c r="K6" i="1" a="1"/>
  <c r="K6" i="1"/>
  <c r="K7" i="1" a="1"/>
  <c r="K7" i="1"/>
  <c r="L7" i="1" s="1"/>
  <c r="K8" i="1" a="1"/>
  <c r="K8" i="1"/>
  <c r="L8" i="1" s="1"/>
  <c r="K9" i="1" a="1"/>
  <c r="K9" i="1"/>
  <c r="L9" i="1" s="1"/>
  <c r="K10" i="1" a="1"/>
  <c r="K10" i="1"/>
  <c r="L10" i="1" s="1"/>
  <c r="K11" i="1" a="1"/>
  <c r="K11" i="1" s="1"/>
  <c r="L11" i="1" s="1"/>
  <c r="K12" i="1" a="1"/>
  <c r="K12" i="1" s="1"/>
  <c r="L12" i="1" s="1"/>
  <c r="K13" i="1" a="1"/>
  <c r="K13" i="1" s="1"/>
  <c r="L13" i="1" s="1"/>
  <c r="K14" i="1" a="1"/>
  <c r="K14" i="1" s="1"/>
  <c r="L14" i="1" s="1"/>
  <c r="K15" i="1" a="1"/>
  <c r="K15" i="1" s="1"/>
  <c r="L15" i="1" s="1"/>
  <c r="K16" i="1" a="1"/>
  <c r="K16" i="1"/>
  <c r="L16" i="1" s="1"/>
  <c r="K17" i="1" a="1"/>
  <c r="K17" i="1"/>
  <c r="L17" i="1" s="1"/>
  <c r="K18" i="1" a="1"/>
  <c r="K18" i="1"/>
  <c r="L18" i="1" s="1"/>
  <c r="K19" i="1" a="1"/>
  <c r="K19" i="1" s="1"/>
  <c r="L19" i="1" s="1"/>
  <c r="K20" i="1" a="1"/>
  <c r="K20" i="1" s="1"/>
  <c r="L20" i="1" s="1"/>
  <c r="K21" i="1" a="1"/>
  <c r="K21" i="1" s="1"/>
  <c r="L21" i="1" s="1"/>
  <c r="K22" i="1" a="1"/>
  <c r="K22" i="1"/>
  <c r="L22" i="1" s="1"/>
  <c r="K23" i="1" a="1"/>
  <c r="K23" i="1"/>
  <c r="L23" i="1" s="1"/>
  <c r="K24" i="1" a="1"/>
  <c r="K24" i="1" s="1"/>
  <c r="L24" i="1" s="1"/>
  <c r="K25" i="1" a="1"/>
  <c r="K25" i="1"/>
  <c r="K26" i="1" a="1"/>
  <c r="K26" i="1"/>
  <c r="K27" i="1" a="1"/>
  <c r="K27" i="1" s="1"/>
  <c r="L27" i="1" s="1"/>
  <c r="K28" i="1" a="1"/>
  <c r="K28" i="1" s="1"/>
  <c r="L28" i="1" s="1"/>
  <c r="K29" i="1" a="1"/>
  <c r="K29" i="1" s="1"/>
  <c r="L29" i="1" s="1"/>
  <c r="K30" i="1" a="1"/>
  <c r="K30" i="1"/>
  <c r="L30" i="1" s="1"/>
  <c r="K31" i="1" a="1"/>
  <c r="K31" i="1"/>
  <c r="L31" i="1" s="1"/>
  <c r="K32" i="1" a="1"/>
  <c r="K32" i="1"/>
  <c r="L32" i="1" s="1"/>
  <c r="K33" i="1" a="1"/>
  <c r="K33" i="1"/>
  <c r="L33" i="1" s="1"/>
  <c r="K34" i="1" a="1"/>
  <c r="K34" i="1" s="1"/>
  <c r="L34" i="1" s="1"/>
  <c r="K35" i="1" a="1"/>
  <c r="K35" i="1" s="1"/>
  <c r="L35" i="1" s="1"/>
  <c r="K36" i="1" a="1"/>
  <c r="K36" i="1" s="1"/>
  <c r="L36" i="1" s="1"/>
  <c r="K37" i="1" a="1"/>
  <c r="K37" i="1" s="1"/>
  <c r="L37" i="1" s="1"/>
  <c r="K38" i="1" a="1"/>
  <c r="K38" i="1"/>
  <c r="L38" i="1" s="1"/>
  <c r="K39" i="1" a="1"/>
  <c r="K39" i="1"/>
  <c r="L39" i="1" s="1"/>
  <c r="K40" i="1" a="1"/>
  <c r="K40" i="1"/>
  <c r="L40" i="1" s="1"/>
  <c r="K41" i="1" a="1"/>
  <c r="K41" i="1"/>
  <c r="L41" i="1" s="1"/>
  <c r="K42" i="1" a="1"/>
  <c r="K42" i="1"/>
  <c r="L42" i="1" s="1"/>
  <c r="K43" i="1" a="1"/>
  <c r="K43" i="1" s="1"/>
  <c r="L43" i="1" s="1"/>
  <c r="K44" i="1" a="1"/>
  <c r="K44" i="1" s="1"/>
  <c r="L44" i="1" s="1"/>
  <c r="K45" i="1" a="1"/>
  <c r="K45" i="1" s="1"/>
  <c r="L45" i="1" s="1"/>
  <c r="K46" i="1" a="1"/>
  <c r="K46" i="1"/>
  <c r="K47" i="1" a="1"/>
  <c r="K47" i="1"/>
  <c r="L47" i="1" s="1"/>
  <c r="K48" i="1" a="1"/>
  <c r="K48" i="1"/>
  <c r="L48" i="1" s="1"/>
  <c r="K49" i="1" a="1"/>
  <c r="K49" i="1" s="1"/>
  <c r="L49" i="1" s="1"/>
  <c r="K50" i="1" a="1"/>
  <c r="K50" i="1"/>
  <c r="L50" i="1" s="1"/>
  <c r="K51" i="1" a="1"/>
  <c r="K51" i="1" s="1"/>
  <c r="L51" i="1" s="1"/>
  <c r="K52" i="1" a="1"/>
  <c r="K52" i="1" s="1"/>
  <c r="L52" i="1" s="1"/>
  <c r="K53" i="1" a="1"/>
  <c r="K53" i="1" s="1"/>
  <c r="L53" i="1" s="1"/>
  <c r="K54" i="1" a="1"/>
  <c r="K54" i="1"/>
  <c r="L54" i="1" s="1"/>
  <c r="K55" i="1" a="1"/>
  <c r="K55" i="1" s="1"/>
  <c r="L55" i="1" s="1"/>
  <c r="K56" i="1" a="1"/>
  <c r="K56" i="1" s="1"/>
  <c r="L56" i="1" s="1"/>
  <c r="K57" i="1" a="1"/>
  <c r="K57" i="1"/>
  <c r="L57" i="1" s="1"/>
  <c r="K58" i="1" a="1"/>
  <c r="K58" i="1"/>
  <c r="L58" i="1" s="1"/>
  <c r="K59" i="1" a="1"/>
  <c r="K59" i="1" s="1"/>
  <c r="L59" i="1" s="1"/>
  <c r="K60" i="1" a="1"/>
  <c r="K60" i="1" s="1"/>
  <c r="L60" i="1" s="1"/>
  <c r="K61" i="1" a="1"/>
  <c r="K61" i="1" s="1"/>
  <c r="L61" i="1" s="1"/>
  <c r="K62" i="1" a="1"/>
  <c r="K62" i="1"/>
  <c r="L62" i="1" s="1"/>
  <c r="K63" i="1" a="1"/>
  <c r="K63" i="1"/>
  <c r="L63" i="1" s="1"/>
  <c r="K64" i="1" a="1"/>
  <c r="K64" i="1"/>
  <c r="L64" i="1" s="1"/>
  <c r="K65" i="1" a="1"/>
  <c r="K65" i="1" s="1"/>
  <c r="L65" i="1" s="1"/>
  <c r="K66" i="1" a="1"/>
  <c r="K66" i="1"/>
  <c r="L66" i="1" s="1"/>
  <c r="K67" i="1" a="1"/>
  <c r="K67" i="1" s="1"/>
  <c r="L67" i="1" s="1"/>
  <c r="K68" i="1" a="1"/>
  <c r="K68" i="1" s="1"/>
  <c r="L68" i="1" s="1"/>
  <c r="K69" i="1" a="1"/>
  <c r="K69" i="1" s="1"/>
  <c r="L69" i="1" s="1"/>
  <c r="K70" i="1" a="1"/>
  <c r="K70" i="1"/>
  <c r="L70" i="1" s="1"/>
  <c r="K71" i="1" a="1"/>
  <c r="K71" i="1"/>
  <c r="L71" i="1" s="1"/>
  <c r="K72" i="1" a="1"/>
  <c r="K72" i="1"/>
  <c r="L72" i="1" s="1"/>
  <c r="K73" i="1" a="1"/>
  <c r="K73" i="1"/>
  <c r="L73" i="1" s="1"/>
  <c r="K74" i="1" a="1"/>
  <c r="K74" i="1" s="1"/>
  <c r="L74" i="1" s="1"/>
  <c r="K75" i="1" a="1"/>
  <c r="K75" i="1" s="1"/>
  <c r="L75" i="1" s="1"/>
  <c r="K76" i="1" a="1"/>
  <c r="K76" i="1" s="1"/>
  <c r="L76" i="1" s="1"/>
  <c r="K77" i="1" a="1"/>
  <c r="K77" i="1" s="1"/>
  <c r="L77" i="1" s="1"/>
  <c r="K78" i="1" a="1"/>
  <c r="K78" i="1"/>
  <c r="K79" i="1" a="1"/>
  <c r="K79" i="1"/>
  <c r="K80" i="1" a="1"/>
  <c r="K80" i="1"/>
  <c r="L80" i="1" s="1"/>
  <c r="K81" i="1" a="1"/>
  <c r="K81" i="1"/>
  <c r="L81" i="1" s="1"/>
  <c r="K82" i="1" a="1"/>
  <c r="K82" i="1"/>
  <c r="L82" i="1" s="1"/>
  <c r="K2" i="1" a="1"/>
  <c r="K2" i="1" s="1"/>
  <c r="L6" i="1"/>
  <c r="L25" i="1"/>
  <c r="L26" i="1"/>
  <c r="S5" i="1"/>
  <c r="S6" i="1"/>
  <c r="Q5" i="1"/>
  <c r="Q6" i="1"/>
  <c r="O5" i="1"/>
  <c r="M5" i="1"/>
  <c r="M6" i="1"/>
  <c r="M7" i="1"/>
  <c r="M8" i="1"/>
  <c r="M9" i="1"/>
  <c r="M10" i="1"/>
  <c r="M11" i="1"/>
  <c r="M12" i="1"/>
  <c r="M13" i="1"/>
  <c r="M14" i="1"/>
  <c r="L46" i="1"/>
  <c r="L78" i="1"/>
  <c r="L79" i="1"/>
  <c r="M15" i="1"/>
  <c r="M16" i="1"/>
  <c r="M17" i="1"/>
  <c r="M32" i="1"/>
  <c r="M33" i="1"/>
  <c r="M34" i="1"/>
  <c r="M35" i="1"/>
  <c r="M36" i="1"/>
  <c r="M50" i="1"/>
  <c r="M51" i="1"/>
  <c r="M52" i="1"/>
  <c r="M53" i="1"/>
  <c r="M54" i="1"/>
  <c r="M59" i="1"/>
  <c r="M69" i="1"/>
  <c r="M73" i="1"/>
  <c r="M74" i="1"/>
  <c r="M75" i="1"/>
  <c r="M76" i="1"/>
  <c r="M77" i="1"/>
  <c r="M93" i="1"/>
  <c r="M94" i="1"/>
  <c r="M95" i="1"/>
  <c r="M96" i="1"/>
  <c r="M97" i="1"/>
  <c r="M98" i="1"/>
  <c r="B5" i="2"/>
  <c r="D5" i="2"/>
  <c r="M23" i="1" s="1"/>
  <c r="D4" i="2"/>
  <c r="D3" i="2"/>
  <c r="D2" i="2"/>
  <c r="R88" i="1" l="1"/>
  <c r="P88" i="1"/>
  <c r="P87" i="1"/>
  <c r="R87" i="1"/>
  <c r="N87" i="1"/>
  <c r="N86" i="1"/>
  <c r="P86" i="1"/>
  <c r="R86" i="1"/>
  <c r="T86" i="1"/>
  <c r="T88" i="1"/>
  <c r="T87" i="1"/>
  <c r="N85" i="1"/>
  <c r="P85" i="1"/>
  <c r="R85" i="1"/>
  <c r="T85" i="1"/>
  <c r="N84" i="1"/>
  <c r="P84" i="1"/>
  <c r="R84" i="1"/>
  <c r="T84" i="1"/>
  <c r="N82" i="1"/>
  <c r="P82" i="1"/>
  <c r="R82" i="1"/>
  <c r="T82" i="1"/>
  <c r="N83" i="1"/>
  <c r="P83" i="1"/>
  <c r="R83" i="1"/>
  <c r="T83" i="1"/>
  <c r="N9" i="1"/>
  <c r="N8" i="1"/>
  <c r="P5" i="1"/>
  <c r="N14" i="1"/>
  <c r="N13" i="1"/>
  <c r="N10" i="1"/>
  <c r="N5" i="1"/>
  <c r="N7" i="1"/>
  <c r="T5" i="1"/>
  <c r="N34" i="1"/>
  <c r="R5" i="1"/>
  <c r="N12" i="1"/>
  <c r="N15" i="1"/>
  <c r="N11" i="1"/>
  <c r="N6" i="1"/>
  <c r="R6" i="1"/>
  <c r="T6" i="1"/>
  <c r="N33" i="1"/>
  <c r="N76" i="1"/>
  <c r="N75" i="1"/>
  <c r="N77" i="1"/>
  <c r="N17" i="1"/>
  <c r="N32" i="1"/>
  <c r="N74" i="1"/>
  <c r="N59" i="1"/>
  <c r="N73" i="1"/>
  <c r="N16" i="1"/>
  <c r="N95" i="1"/>
  <c r="N94" i="1"/>
  <c r="N96" i="1"/>
  <c r="N93" i="1"/>
  <c r="N69" i="1"/>
  <c r="N54" i="1"/>
  <c r="N53" i="1"/>
  <c r="N23" i="1"/>
  <c r="N52" i="1"/>
  <c r="N98" i="1"/>
  <c r="N51" i="1"/>
  <c r="N36" i="1"/>
  <c r="N97" i="1"/>
  <c r="N50" i="1"/>
  <c r="N35" i="1"/>
  <c r="S15" i="1"/>
  <c r="T15" i="1" s="1"/>
  <c r="S30" i="1"/>
  <c r="T30" i="1" s="1"/>
  <c r="S45" i="1"/>
  <c r="T45" i="1" s="1"/>
  <c r="S60" i="1"/>
  <c r="T60" i="1" s="1"/>
  <c r="S74" i="1"/>
  <c r="T74" i="1" s="1"/>
  <c r="S91" i="1"/>
  <c r="T91" i="1" s="1"/>
  <c r="S106" i="1"/>
  <c r="T106" i="1" s="1"/>
  <c r="S16" i="1"/>
  <c r="T16" i="1" s="1"/>
  <c r="S31" i="1"/>
  <c r="T31" i="1" s="1"/>
  <c r="S61" i="1"/>
  <c r="T61" i="1" s="1"/>
  <c r="S75" i="1"/>
  <c r="T75" i="1" s="1"/>
  <c r="S92" i="1"/>
  <c r="T92" i="1" s="1"/>
  <c r="S107" i="1"/>
  <c r="T107" i="1" s="1"/>
  <c r="S17" i="1"/>
  <c r="T17" i="1" s="1"/>
  <c r="S46" i="1"/>
  <c r="T46" i="1" s="1"/>
  <c r="S76" i="1"/>
  <c r="T76" i="1" s="1"/>
  <c r="S93" i="1"/>
  <c r="T93" i="1" s="1"/>
  <c r="S2" i="1"/>
  <c r="T2" i="1" s="1"/>
  <c r="S7" i="1"/>
  <c r="T7" i="1" s="1"/>
  <c r="S18" i="1"/>
  <c r="T18" i="1" s="1"/>
  <c r="S32" i="1"/>
  <c r="T32" i="1" s="1"/>
  <c r="S47" i="1"/>
  <c r="T47" i="1" s="1"/>
  <c r="S62" i="1"/>
  <c r="T62" i="1" s="1"/>
  <c r="S77" i="1"/>
  <c r="T77" i="1" s="1"/>
  <c r="S94" i="1"/>
  <c r="T94" i="1" s="1"/>
  <c r="S19" i="1"/>
  <c r="T19" i="1" s="1"/>
  <c r="S33" i="1"/>
  <c r="T33" i="1" s="1"/>
  <c r="S48" i="1"/>
  <c r="T48" i="1" s="1"/>
  <c r="S63" i="1"/>
  <c r="T63" i="1" s="1"/>
  <c r="S95" i="1"/>
  <c r="T95" i="1" s="1"/>
  <c r="S34" i="1"/>
  <c r="T34" i="1" s="1"/>
  <c r="S49" i="1"/>
  <c r="T49" i="1" s="1"/>
  <c r="S64" i="1"/>
  <c r="T64" i="1" s="1"/>
  <c r="S96" i="1"/>
  <c r="T96" i="1" s="1"/>
  <c r="S3" i="1"/>
  <c r="T3" i="1" s="1"/>
  <c r="S20" i="1"/>
  <c r="T20" i="1" s="1"/>
  <c r="S35" i="1"/>
  <c r="T35" i="1" s="1"/>
  <c r="S50" i="1"/>
  <c r="T50" i="1" s="1"/>
  <c r="S65" i="1"/>
  <c r="T65" i="1" s="1"/>
  <c r="S78" i="1"/>
  <c r="T78" i="1" s="1"/>
  <c r="S97" i="1"/>
  <c r="T97" i="1" s="1"/>
  <c r="S4" i="1"/>
  <c r="T4" i="1" s="1"/>
  <c r="S21" i="1"/>
  <c r="T21" i="1" s="1"/>
  <c r="S36" i="1"/>
  <c r="T36" i="1" s="1"/>
  <c r="S51" i="1"/>
  <c r="T51" i="1" s="1"/>
  <c r="S66" i="1"/>
  <c r="T66" i="1" s="1"/>
  <c r="S79" i="1"/>
  <c r="T79" i="1" s="1"/>
  <c r="S98" i="1"/>
  <c r="T98" i="1" s="1"/>
  <c r="S22" i="1"/>
  <c r="T22" i="1" s="1"/>
  <c r="S37" i="1"/>
  <c r="T37" i="1" s="1"/>
  <c r="S52" i="1"/>
  <c r="T52" i="1" s="1"/>
  <c r="S67" i="1"/>
  <c r="T67" i="1" s="1"/>
  <c r="S80" i="1"/>
  <c r="T80" i="1" s="1"/>
  <c r="S99" i="1"/>
  <c r="T99" i="1" s="1"/>
  <c r="S8" i="1"/>
  <c r="T8" i="1" s="1"/>
  <c r="S23" i="1"/>
  <c r="T23" i="1" s="1"/>
  <c r="S38" i="1"/>
  <c r="T38" i="1" s="1"/>
  <c r="S53" i="1"/>
  <c r="T53" i="1" s="1"/>
  <c r="S68" i="1"/>
  <c r="T68" i="1" s="1"/>
  <c r="S81" i="1"/>
  <c r="T81" i="1" s="1"/>
  <c r="S100" i="1"/>
  <c r="T100" i="1" s="1"/>
  <c r="S9" i="1"/>
  <c r="T9" i="1" s="1"/>
  <c r="S24" i="1"/>
  <c r="T24" i="1" s="1"/>
  <c r="S39" i="1"/>
  <c r="T39" i="1" s="1"/>
  <c r="S54" i="1"/>
  <c r="T54" i="1" s="1"/>
  <c r="S69" i="1"/>
  <c r="T69" i="1" s="1"/>
  <c r="S101" i="1"/>
  <c r="T101" i="1" s="1"/>
  <c r="S10" i="1"/>
  <c r="T10" i="1" s="1"/>
  <c r="S25" i="1"/>
  <c r="T25" i="1" s="1"/>
  <c r="S40" i="1"/>
  <c r="T40" i="1" s="1"/>
  <c r="S55" i="1"/>
  <c r="T55" i="1" s="1"/>
  <c r="S70" i="1"/>
  <c r="T70" i="1" s="1"/>
  <c r="S102" i="1"/>
  <c r="T102" i="1" s="1"/>
  <c r="S11" i="1"/>
  <c r="T11" i="1" s="1"/>
  <c r="S26" i="1"/>
  <c r="T26" i="1" s="1"/>
  <c r="S41" i="1"/>
  <c r="T41" i="1" s="1"/>
  <c r="S56" i="1"/>
  <c r="T56" i="1" s="1"/>
  <c r="S71" i="1"/>
  <c r="T71" i="1" s="1"/>
  <c r="S103" i="1"/>
  <c r="T103" i="1" s="1"/>
  <c r="S14" i="1"/>
  <c r="T14" i="1" s="1"/>
  <c r="S29" i="1"/>
  <c r="T29" i="1" s="1"/>
  <c r="S44" i="1"/>
  <c r="T44" i="1" s="1"/>
  <c r="S59" i="1"/>
  <c r="T59" i="1" s="1"/>
  <c r="S73" i="1"/>
  <c r="T73" i="1" s="1"/>
  <c r="S90" i="1"/>
  <c r="T90" i="1" s="1"/>
  <c r="S105" i="1"/>
  <c r="T105" i="1" s="1"/>
  <c r="S12" i="1"/>
  <c r="T12" i="1" s="1"/>
  <c r="S27" i="1"/>
  <c r="T27" i="1" s="1"/>
  <c r="S42" i="1"/>
  <c r="T42" i="1" s="1"/>
  <c r="S57" i="1"/>
  <c r="T57" i="1" s="1"/>
  <c r="S72" i="1"/>
  <c r="T72" i="1" s="1"/>
  <c r="S13" i="1"/>
  <c r="T13" i="1" s="1"/>
  <c r="S28" i="1"/>
  <c r="T28" i="1" s="1"/>
  <c r="S43" i="1"/>
  <c r="T43" i="1" s="1"/>
  <c r="S58" i="1"/>
  <c r="T58" i="1" s="1"/>
  <c r="T89" i="1"/>
  <c r="S104" i="1"/>
  <c r="T104" i="1" s="1"/>
  <c r="M49" i="1"/>
  <c r="N49" i="1" s="1"/>
  <c r="M4" i="1"/>
  <c r="N4" i="1" s="1"/>
  <c r="M66" i="1"/>
  <c r="N66" i="1" s="1"/>
  <c r="M2" i="1"/>
  <c r="N2" i="1" s="1"/>
  <c r="M65" i="1"/>
  <c r="N65" i="1" s="1"/>
  <c r="M25" i="1"/>
  <c r="N25" i="1" s="1"/>
  <c r="M40" i="1"/>
  <c r="N40" i="1" s="1"/>
  <c r="M55" i="1"/>
  <c r="N55" i="1" s="1"/>
  <c r="M70" i="1"/>
  <c r="N70" i="1" s="1"/>
  <c r="M102" i="1"/>
  <c r="N102" i="1" s="1"/>
  <c r="M26" i="1"/>
  <c r="N26" i="1" s="1"/>
  <c r="M41" i="1"/>
  <c r="N41" i="1" s="1"/>
  <c r="M56" i="1"/>
  <c r="N56" i="1" s="1"/>
  <c r="M71" i="1"/>
  <c r="N71" i="1" s="1"/>
  <c r="M103" i="1"/>
  <c r="N103" i="1" s="1"/>
  <c r="M27" i="1"/>
  <c r="N27" i="1" s="1"/>
  <c r="M42" i="1"/>
  <c r="N42" i="1" s="1"/>
  <c r="M57" i="1"/>
  <c r="N57" i="1" s="1"/>
  <c r="M72" i="1"/>
  <c r="N72" i="1" s="1"/>
  <c r="M88" i="1"/>
  <c r="N88" i="1" s="1"/>
  <c r="M28" i="1"/>
  <c r="N28" i="1" s="1"/>
  <c r="M43" i="1"/>
  <c r="N43" i="1" s="1"/>
  <c r="M58" i="1"/>
  <c r="N58" i="1" s="1"/>
  <c r="M89" i="1"/>
  <c r="N89" i="1" s="1"/>
  <c r="M104" i="1"/>
  <c r="N104" i="1" s="1"/>
  <c r="M29" i="1"/>
  <c r="N29" i="1" s="1"/>
  <c r="M67" i="1"/>
  <c r="N67" i="1" s="1"/>
  <c r="M48" i="1"/>
  <c r="N48" i="1" s="1"/>
  <c r="M30" i="1"/>
  <c r="N30" i="1" s="1"/>
  <c r="M3" i="1"/>
  <c r="N3" i="1" s="1"/>
  <c r="Q17" i="1"/>
  <c r="R17" i="1" s="1"/>
  <c r="Q46" i="1"/>
  <c r="R46" i="1" s="1"/>
  <c r="Q76" i="1"/>
  <c r="R76" i="1" s="1"/>
  <c r="Q93" i="1"/>
  <c r="R93" i="1" s="1"/>
  <c r="Q2" i="1"/>
  <c r="R2" i="1" s="1"/>
  <c r="Q18" i="1"/>
  <c r="R18" i="1" s="1"/>
  <c r="Q32" i="1"/>
  <c r="R32" i="1" s="1"/>
  <c r="Q47" i="1"/>
  <c r="R47" i="1" s="1"/>
  <c r="Q62" i="1"/>
  <c r="R62" i="1" s="1"/>
  <c r="Q77" i="1"/>
  <c r="R77" i="1" s="1"/>
  <c r="Q94" i="1"/>
  <c r="R94" i="1" s="1"/>
  <c r="Q7" i="1"/>
  <c r="R7" i="1" s="1"/>
  <c r="Q19" i="1"/>
  <c r="R19" i="1" s="1"/>
  <c r="Q33" i="1"/>
  <c r="R33" i="1" s="1"/>
  <c r="Q48" i="1"/>
  <c r="R48" i="1" s="1"/>
  <c r="Q63" i="1"/>
  <c r="R63" i="1" s="1"/>
  <c r="Q95" i="1"/>
  <c r="R95" i="1" s="1"/>
  <c r="Q34" i="1"/>
  <c r="R34" i="1" s="1"/>
  <c r="Q49" i="1"/>
  <c r="R49" i="1" s="1"/>
  <c r="Q64" i="1"/>
  <c r="R64" i="1" s="1"/>
  <c r="Q96" i="1"/>
  <c r="R96" i="1" s="1"/>
  <c r="Q3" i="1"/>
  <c r="R3" i="1" s="1"/>
  <c r="Q20" i="1"/>
  <c r="R20" i="1" s="1"/>
  <c r="Q35" i="1"/>
  <c r="R35" i="1" s="1"/>
  <c r="Q50" i="1"/>
  <c r="R50" i="1" s="1"/>
  <c r="Q65" i="1"/>
  <c r="R65" i="1" s="1"/>
  <c r="Q78" i="1"/>
  <c r="R78" i="1" s="1"/>
  <c r="Q97" i="1"/>
  <c r="R97" i="1" s="1"/>
  <c r="Q4" i="1"/>
  <c r="R4" i="1" s="1"/>
  <c r="Q21" i="1"/>
  <c r="R21" i="1" s="1"/>
  <c r="Q36" i="1"/>
  <c r="R36" i="1" s="1"/>
  <c r="Q51" i="1"/>
  <c r="R51" i="1" s="1"/>
  <c r="Q66" i="1"/>
  <c r="R66" i="1" s="1"/>
  <c r="Q79" i="1"/>
  <c r="R79" i="1" s="1"/>
  <c r="Q98" i="1"/>
  <c r="R98" i="1" s="1"/>
  <c r="Q22" i="1"/>
  <c r="R22" i="1" s="1"/>
  <c r="Q37" i="1"/>
  <c r="R37" i="1" s="1"/>
  <c r="Q52" i="1"/>
  <c r="R52" i="1" s="1"/>
  <c r="Q67" i="1"/>
  <c r="R67" i="1" s="1"/>
  <c r="Q80" i="1"/>
  <c r="R80" i="1" s="1"/>
  <c r="Q99" i="1"/>
  <c r="R99" i="1" s="1"/>
  <c r="Q8" i="1"/>
  <c r="R8" i="1" s="1"/>
  <c r="Q23" i="1"/>
  <c r="R23" i="1" s="1"/>
  <c r="Q38" i="1"/>
  <c r="R38" i="1" s="1"/>
  <c r="Q53" i="1"/>
  <c r="R53" i="1" s="1"/>
  <c r="Q68" i="1"/>
  <c r="R68" i="1" s="1"/>
  <c r="Q81" i="1"/>
  <c r="R81" i="1" s="1"/>
  <c r="Q100" i="1"/>
  <c r="R100" i="1" s="1"/>
  <c r="Q9" i="1"/>
  <c r="R9" i="1" s="1"/>
  <c r="Q24" i="1"/>
  <c r="R24" i="1" s="1"/>
  <c r="Q39" i="1"/>
  <c r="R39" i="1" s="1"/>
  <c r="Q54" i="1"/>
  <c r="R54" i="1" s="1"/>
  <c r="Q69" i="1"/>
  <c r="R69" i="1" s="1"/>
  <c r="Q101" i="1"/>
  <c r="R101" i="1" s="1"/>
  <c r="Q10" i="1"/>
  <c r="R10" i="1" s="1"/>
  <c r="Q25" i="1"/>
  <c r="R25" i="1" s="1"/>
  <c r="Q40" i="1"/>
  <c r="R40" i="1" s="1"/>
  <c r="Q55" i="1"/>
  <c r="R55" i="1" s="1"/>
  <c r="Q70" i="1"/>
  <c r="R70" i="1" s="1"/>
  <c r="Q102" i="1"/>
  <c r="R102" i="1" s="1"/>
  <c r="Q11" i="1"/>
  <c r="R11" i="1" s="1"/>
  <c r="Q26" i="1"/>
  <c r="R26" i="1" s="1"/>
  <c r="Q41" i="1"/>
  <c r="R41" i="1" s="1"/>
  <c r="Q56" i="1"/>
  <c r="R56" i="1" s="1"/>
  <c r="Q71" i="1"/>
  <c r="R71" i="1" s="1"/>
  <c r="Q103" i="1"/>
  <c r="R103" i="1" s="1"/>
  <c r="Q12" i="1"/>
  <c r="R12" i="1" s="1"/>
  <c r="Q27" i="1"/>
  <c r="R27" i="1" s="1"/>
  <c r="Q42" i="1"/>
  <c r="R42" i="1" s="1"/>
  <c r="Q57" i="1"/>
  <c r="R57" i="1" s="1"/>
  <c r="Q72" i="1"/>
  <c r="R72" i="1" s="1"/>
  <c r="Q13" i="1"/>
  <c r="R13" i="1" s="1"/>
  <c r="Q28" i="1"/>
  <c r="R28" i="1" s="1"/>
  <c r="Q43" i="1"/>
  <c r="R43" i="1" s="1"/>
  <c r="Q58" i="1"/>
  <c r="R58" i="1" s="1"/>
  <c r="Q89" i="1"/>
  <c r="R89" i="1" s="1"/>
  <c r="Q104" i="1"/>
  <c r="R104" i="1" s="1"/>
  <c r="Q16" i="1"/>
  <c r="R16" i="1" s="1"/>
  <c r="Q31" i="1"/>
  <c r="R31" i="1" s="1"/>
  <c r="Q61" i="1"/>
  <c r="R61" i="1" s="1"/>
  <c r="Q75" i="1"/>
  <c r="R75" i="1" s="1"/>
  <c r="Q92" i="1"/>
  <c r="R92" i="1" s="1"/>
  <c r="Q107" i="1"/>
  <c r="R107" i="1" s="1"/>
  <c r="Q14" i="1"/>
  <c r="R14" i="1" s="1"/>
  <c r="Q29" i="1"/>
  <c r="R29" i="1" s="1"/>
  <c r="Q44" i="1"/>
  <c r="R44" i="1" s="1"/>
  <c r="Q59" i="1"/>
  <c r="R59" i="1" s="1"/>
  <c r="Q73" i="1"/>
  <c r="R73" i="1" s="1"/>
  <c r="Q90" i="1"/>
  <c r="R90" i="1" s="1"/>
  <c r="Q105" i="1"/>
  <c r="R105" i="1" s="1"/>
  <c r="Q15" i="1"/>
  <c r="R15" i="1" s="1"/>
  <c r="Q30" i="1"/>
  <c r="R30" i="1" s="1"/>
  <c r="Q45" i="1"/>
  <c r="R45" i="1" s="1"/>
  <c r="Q60" i="1"/>
  <c r="R60" i="1" s="1"/>
  <c r="Q74" i="1"/>
  <c r="R74" i="1" s="1"/>
  <c r="Q91" i="1"/>
  <c r="R91" i="1" s="1"/>
  <c r="Q106" i="1"/>
  <c r="R106" i="1" s="1"/>
  <c r="M68" i="1"/>
  <c r="N68" i="1" s="1"/>
  <c r="M47" i="1"/>
  <c r="N47" i="1" s="1"/>
  <c r="O34" i="1"/>
  <c r="P34" i="1" s="1"/>
  <c r="O49" i="1"/>
  <c r="P49" i="1" s="1"/>
  <c r="O64" i="1"/>
  <c r="P64" i="1" s="1"/>
  <c r="O96" i="1"/>
  <c r="P96" i="1" s="1"/>
  <c r="O7" i="1"/>
  <c r="P7" i="1" s="1"/>
  <c r="O3" i="1"/>
  <c r="P3" i="1" s="1"/>
  <c r="O20" i="1"/>
  <c r="P20" i="1" s="1"/>
  <c r="O35" i="1"/>
  <c r="P35" i="1" s="1"/>
  <c r="O50" i="1"/>
  <c r="P50" i="1" s="1"/>
  <c r="O65" i="1"/>
  <c r="P65" i="1" s="1"/>
  <c r="O78" i="1"/>
  <c r="P78" i="1" s="1"/>
  <c r="O97" i="1"/>
  <c r="P97" i="1" s="1"/>
  <c r="O4" i="1"/>
  <c r="P4" i="1" s="1"/>
  <c r="O21" i="1"/>
  <c r="P21" i="1" s="1"/>
  <c r="O36" i="1"/>
  <c r="P36" i="1" s="1"/>
  <c r="O51" i="1"/>
  <c r="P51" i="1" s="1"/>
  <c r="O66" i="1"/>
  <c r="P66" i="1" s="1"/>
  <c r="O79" i="1"/>
  <c r="P79" i="1" s="1"/>
  <c r="O98" i="1"/>
  <c r="P98" i="1" s="1"/>
  <c r="O6" i="1"/>
  <c r="P6" i="1" s="1"/>
  <c r="O22" i="1"/>
  <c r="P22" i="1" s="1"/>
  <c r="O37" i="1"/>
  <c r="P37" i="1" s="1"/>
  <c r="O52" i="1"/>
  <c r="P52" i="1" s="1"/>
  <c r="O67" i="1"/>
  <c r="P67" i="1" s="1"/>
  <c r="O80" i="1"/>
  <c r="P80" i="1" s="1"/>
  <c r="O99" i="1"/>
  <c r="P99" i="1" s="1"/>
  <c r="O8" i="1"/>
  <c r="P8" i="1" s="1"/>
  <c r="O23" i="1"/>
  <c r="P23" i="1" s="1"/>
  <c r="O38" i="1"/>
  <c r="P38" i="1" s="1"/>
  <c r="O53" i="1"/>
  <c r="P53" i="1" s="1"/>
  <c r="O68" i="1"/>
  <c r="P68" i="1" s="1"/>
  <c r="O81" i="1"/>
  <c r="P81" i="1" s="1"/>
  <c r="O100" i="1"/>
  <c r="P100" i="1" s="1"/>
  <c r="O9" i="1"/>
  <c r="P9" i="1" s="1"/>
  <c r="O24" i="1"/>
  <c r="P24" i="1" s="1"/>
  <c r="O39" i="1"/>
  <c r="P39" i="1" s="1"/>
  <c r="O54" i="1"/>
  <c r="P54" i="1" s="1"/>
  <c r="O69" i="1"/>
  <c r="P69" i="1" s="1"/>
  <c r="O101" i="1"/>
  <c r="P101" i="1" s="1"/>
  <c r="O10" i="1"/>
  <c r="P10" i="1" s="1"/>
  <c r="O25" i="1"/>
  <c r="P25" i="1" s="1"/>
  <c r="O40" i="1"/>
  <c r="P40" i="1" s="1"/>
  <c r="O55" i="1"/>
  <c r="P55" i="1" s="1"/>
  <c r="O70" i="1"/>
  <c r="P70" i="1" s="1"/>
  <c r="O102" i="1"/>
  <c r="P102" i="1" s="1"/>
  <c r="O11" i="1"/>
  <c r="P11" i="1" s="1"/>
  <c r="O26" i="1"/>
  <c r="P26" i="1" s="1"/>
  <c r="O41" i="1"/>
  <c r="P41" i="1" s="1"/>
  <c r="O56" i="1"/>
  <c r="P56" i="1" s="1"/>
  <c r="O71" i="1"/>
  <c r="P71" i="1" s="1"/>
  <c r="O103" i="1"/>
  <c r="P103" i="1" s="1"/>
  <c r="O12" i="1"/>
  <c r="P12" i="1" s="1"/>
  <c r="O27" i="1"/>
  <c r="P27" i="1" s="1"/>
  <c r="O42" i="1"/>
  <c r="P42" i="1" s="1"/>
  <c r="O57" i="1"/>
  <c r="P57" i="1" s="1"/>
  <c r="O72" i="1"/>
  <c r="P72" i="1" s="1"/>
  <c r="O13" i="1"/>
  <c r="P13" i="1" s="1"/>
  <c r="O28" i="1"/>
  <c r="P28" i="1" s="1"/>
  <c r="O43" i="1"/>
  <c r="P43" i="1" s="1"/>
  <c r="O58" i="1"/>
  <c r="P58" i="1" s="1"/>
  <c r="O89" i="1"/>
  <c r="P89" i="1" s="1"/>
  <c r="O104" i="1"/>
  <c r="P104" i="1" s="1"/>
  <c r="O14" i="1"/>
  <c r="P14" i="1" s="1"/>
  <c r="O29" i="1"/>
  <c r="P29" i="1" s="1"/>
  <c r="O44" i="1"/>
  <c r="P44" i="1" s="1"/>
  <c r="O59" i="1"/>
  <c r="P59" i="1" s="1"/>
  <c r="O73" i="1"/>
  <c r="P73" i="1" s="1"/>
  <c r="O90" i="1"/>
  <c r="P90" i="1" s="1"/>
  <c r="O105" i="1"/>
  <c r="P105" i="1" s="1"/>
  <c r="O15" i="1"/>
  <c r="P15" i="1" s="1"/>
  <c r="O30" i="1"/>
  <c r="P30" i="1" s="1"/>
  <c r="O45" i="1"/>
  <c r="P45" i="1" s="1"/>
  <c r="O60" i="1"/>
  <c r="P60" i="1" s="1"/>
  <c r="O74" i="1"/>
  <c r="P74" i="1" s="1"/>
  <c r="O91" i="1"/>
  <c r="P91" i="1" s="1"/>
  <c r="O106" i="1"/>
  <c r="P106" i="1" s="1"/>
  <c r="O16" i="1"/>
  <c r="P16" i="1" s="1"/>
  <c r="O31" i="1"/>
  <c r="P31" i="1" s="1"/>
  <c r="O61" i="1"/>
  <c r="P61" i="1" s="1"/>
  <c r="O75" i="1"/>
  <c r="P75" i="1" s="1"/>
  <c r="O92" i="1"/>
  <c r="P92" i="1" s="1"/>
  <c r="O107" i="1"/>
  <c r="P107" i="1" s="1"/>
  <c r="O19" i="1"/>
  <c r="P19" i="1" s="1"/>
  <c r="O33" i="1"/>
  <c r="P33" i="1" s="1"/>
  <c r="O48" i="1"/>
  <c r="P48" i="1" s="1"/>
  <c r="O63" i="1"/>
  <c r="P63" i="1" s="1"/>
  <c r="O95" i="1"/>
  <c r="P95" i="1" s="1"/>
  <c r="O17" i="1"/>
  <c r="P17" i="1" s="1"/>
  <c r="O46" i="1"/>
  <c r="P46" i="1" s="1"/>
  <c r="O76" i="1"/>
  <c r="P76" i="1" s="1"/>
  <c r="O93" i="1"/>
  <c r="P93" i="1" s="1"/>
  <c r="O2" i="1"/>
  <c r="P2" i="1" s="1"/>
  <c r="O18" i="1"/>
  <c r="P18" i="1" s="1"/>
  <c r="O32" i="1"/>
  <c r="P32" i="1" s="1"/>
  <c r="O47" i="1"/>
  <c r="P47" i="1" s="1"/>
  <c r="O62" i="1"/>
  <c r="P62" i="1" s="1"/>
  <c r="O77" i="1"/>
  <c r="P77" i="1" s="1"/>
  <c r="O94" i="1"/>
  <c r="P94" i="1" s="1"/>
  <c r="M91" i="1"/>
  <c r="N91" i="1" s="1"/>
  <c r="M90" i="1"/>
  <c r="N90" i="1" s="1"/>
  <c r="M24" i="1"/>
  <c r="N24" i="1" s="1"/>
  <c r="M45" i="1"/>
  <c r="N45" i="1" s="1"/>
  <c r="M20" i="1"/>
  <c r="N20" i="1" s="1"/>
  <c r="M101" i="1"/>
  <c r="N101" i="1" s="1"/>
  <c r="M78" i="1"/>
  <c r="N78" i="1" s="1"/>
  <c r="M39" i="1"/>
  <c r="N39" i="1" s="1"/>
  <c r="M92" i="1"/>
  <c r="N92" i="1" s="1"/>
  <c r="M31" i="1"/>
  <c r="N31" i="1" s="1"/>
  <c r="M46" i="1"/>
  <c r="N46" i="1" s="1"/>
  <c r="M107" i="1"/>
  <c r="N107" i="1" s="1"/>
  <c r="M81" i="1"/>
  <c r="N81" i="1" s="1"/>
  <c r="M64" i="1"/>
  <c r="N64" i="1" s="1"/>
  <c r="M22" i="1"/>
  <c r="N22" i="1" s="1"/>
  <c r="M106" i="1"/>
  <c r="N106" i="1" s="1"/>
  <c r="M80" i="1"/>
  <c r="N80" i="1" s="1"/>
  <c r="M63" i="1"/>
  <c r="N63" i="1" s="1"/>
  <c r="M21" i="1"/>
  <c r="N21" i="1" s="1"/>
  <c r="M105" i="1"/>
  <c r="N105" i="1" s="1"/>
  <c r="M79" i="1"/>
  <c r="N79" i="1" s="1"/>
  <c r="M62" i="1"/>
  <c r="N62" i="1" s="1"/>
  <c r="M44" i="1"/>
  <c r="N44" i="1" s="1"/>
  <c r="M100" i="1"/>
  <c r="N100" i="1" s="1"/>
  <c r="M61" i="1"/>
  <c r="N61" i="1" s="1"/>
  <c r="M38" i="1"/>
  <c r="N38" i="1" s="1"/>
  <c r="M19" i="1"/>
  <c r="N19" i="1" s="1"/>
  <c r="M99" i="1"/>
  <c r="N99" i="1" s="1"/>
  <c r="M60" i="1"/>
  <c r="N60" i="1" s="1"/>
  <c r="M37" i="1"/>
  <c r="N37" i="1" s="1"/>
  <c r="M18" i="1"/>
  <c r="N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<sst xmlns="http://schemas.openxmlformats.org/spreadsheetml/2006/main" count="874" uniqueCount="346">
  <si>
    <t>id</t>
  </si>
  <si>
    <t>name</t>
  </si>
  <si>
    <t>lat</t>
  </si>
  <si>
    <t>lon</t>
  </si>
  <si>
    <t>type</t>
  </si>
  <si>
    <t xml:space="preserve"> fuel</t>
  </si>
  <si>
    <t>region</t>
  </si>
  <si>
    <t>country</t>
  </si>
  <si>
    <t>status</t>
  </si>
  <si>
    <t>prod_kw</t>
  </si>
  <si>
    <t>emfpm10</t>
  </si>
  <si>
    <t>emfpm25</t>
  </si>
  <si>
    <t>emfso2</t>
  </si>
  <si>
    <t>emfnox</t>
  </si>
  <si>
    <t>CB-1</t>
  </si>
  <si>
    <t>Barapukuria power station</t>
  </si>
  <si>
    <t>Bangladesh</t>
  </si>
  <si>
    <t>operating, operating, operating</t>
  </si>
  <si>
    <t>125, 125, 275</t>
  </si>
  <si>
    <t>CB-2</t>
  </si>
  <si>
    <t>Patuakhali power station (RPCL/NORINCO)</t>
  </si>
  <si>
    <t>construction, construction</t>
  </si>
  <si>
    <t>660, 660</t>
  </si>
  <si>
    <t>CB-3</t>
  </si>
  <si>
    <t>Payra power station (BCPCL)</t>
  </si>
  <si>
    <t>operating, operating, construction, construction</t>
  </si>
  <si>
    <t>660, 660, 660, 660</t>
  </si>
  <si>
    <t>CB-4</t>
  </si>
  <si>
    <t>Rampal power station</t>
  </si>
  <si>
    <t>operating, construction</t>
  </si>
  <si>
    <t>CI-1</t>
  </si>
  <si>
    <t>Adani Godda power station</t>
  </si>
  <si>
    <t>India</t>
  </si>
  <si>
    <t>operating, operating</t>
  </si>
  <si>
    <t>800, 800</t>
  </si>
  <si>
    <t>CI-2</t>
  </si>
  <si>
    <t>Angul Smelter power station (Meja Urja Nigam Pvt Ltd)</t>
  </si>
  <si>
    <t>pre-permit</t>
  </si>
  <si>
    <t>CI-3</t>
  </si>
  <si>
    <t>Angul Smelter power station (Mirzapur Thermal Energy (UP) Pvt Ltd)</t>
  </si>
  <si>
    <t>CI-4</t>
  </si>
  <si>
    <t>Anpara power station</t>
  </si>
  <si>
    <t>operating, operating, operating, operating, operating</t>
  </si>
  <si>
    <t>210, 210, 210, 500, 500</t>
  </si>
  <si>
    <t>CI-5</t>
  </si>
  <si>
    <t>Anpara-C power station</t>
  </si>
  <si>
    <t>600, 600</t>
  </si>
  <si>
    <t>CI-6</t>
  </si>
  <si>
    <t>Anpara-D power station</t>
  </si>
  <si>
    <t>500, 500</t>
  </si>
  <si>
    <t>CI-7</t>
  </si>
  <si>
    <t>Anpara-E power station</t>
  </si>
  <si>
    <t>permitted, permitted</t>
  </si>
  <si>
    <t>CI-8</t>
  </si>
  <si>
    <t>Asansol Crescent power station</t>
  </si>
  <si>
    <t>operating</t>
  </si>
  <si>
    <t>CI-9</t>
  </si>
  <si>
    <t>Badarpur Thermal Power Station Stage I</t>
  </si>
  <si>
    <t>95, 95, 95</t>
  </si>
  <si>
    <t>CI-10</t>
  </si>
  <si>
    <t>Badarpur Thermal Power Station Stage II</t>
  </si>
  <si>
    <t>210, 210</t>
  </si>
  <si>
    <t>CI-11</t>
  </si>
  <si>
    <t>Bakreswar Thermal Power Station Phase I</t>
  </si>
  <si>
    <t>210, 210, 210</t>
  </si>
  <si>
    <t>CI-12</t>
  </si>
  <si>
    <t>Bakreswar Thermal Power Station Phase II</t>
  </si>
  <si>
    <t>CI-13</t>
  </si>
  <si>
    <t>Bandel Thermal Power Station</t>
  </si>
  <si>
    <t>60, 210, 60, 60, 60</t>
  </si>
  <si>
    <t>CI-14</t>
  </si>
  <si>
    <t>CI-15</t>
  </si>
  <si>
    <t>Bara Thermal Power Project</t>
  </si>
  <si>
    <t>660, 660, 660</t>
  </si>
  <si>
    <t>CI-16</t>
  </si>
  <si>
    <t>Barauni power station</t>
  </si>
  <si>
    <t>operating, operating, operating, operating</t>
  </si>
  <si>
    <t>250, 250, 110, 110</t>
  </si>
  <si>
    <t>CI-17</t>
  </si>
  <si>
    <t>Barh I power station</t>
  </si>
  <si>
    <t>operating, construction, construction</t>
  </si>
  <si>
    <t>CI-18</t>
  </si>
  <si>
    <t>Barh II power station</t>
  </si>
  <si>
    <t>CI-19</t>
  </si>
  <si>
    <t>Barkhera IPP power station</t>
  </si>
  <si>
    <t>45, 45</t>
  </si>
  <si>
    <t>CI-20</t>
  </si>
  <si>
    <t>Bilhaur Super Thermal Power Plant</t>
  </si>
  <si>
    <t>pre-permit, pre-permit</t>
  </si>
  <si>
    <t>CI-21</t>
  </si>
  <si>
    <t>Budge Budge Generating Station</t>
  </si>
  <si>
    <t>250, 250, 250</t>
  </si>
  <si>
    <t>CI-22</t>
  </si>
  <si>
    <t>Chandrapur Thermal Power Station (Bihar State Power Holding Co Ltd)</t>
  </si>
  <si>
    <t>CI-23</t>
  </si>
  <si>
    <t>Buxar Thermal Power Station</t>
  </si>
  <si>
    <t>CI-24</t>
  </si>
  <si>
    <t>Chunar Cement power station</t>
  </si>
  <si>
    <t>CI-25</t>
  </si>
  <si>
    <t>Churk captive power station</t>
  </si>
  <si>
    <t>60, 60, 60, 60</t>
  </si>
  <si>
    <t>CI-26</t>
  </si>
  <si>
    <t>Deenbandhu Chhotu Ram Thermal Power Plant</t>
  </si>
  <si>
    <t>300, 300</t>
  </si>
  <si>
    <t>CI-27</t>
  </si>
  <si>
    <t>CI-28</t>
  </si>
  <si>
    <t>Durgapur SAIL power station</t>
  </si>
  <si>
    <t>60, 60</t>
  </si>
  <si>
    <t>CI-29</t>
  </si>
  <si>
    <t>Durgapur Steel City Andal power station</t>
  </si>
  <si>
    <t>CI-30</t>
  </si>
  <si>
    <t>Farakka power station</t>
  </si>
  <si>
    <t>operating, operating, operating, operating, operating, operating</t>
  </si>
  <si>
    <t>200, 200, 200, 500, 500, 500</t>
  </si>
  <si>
    <t>CI-31</t>
  </si>
  <si>
    <t>Feroze Gandhi Unchahar Power Station</t>
  </si>
  <si>
    <t>210, 210, 210, 210, 210, 500</t>
  </si>
  <si>
    <t>CI-32</t>
  </si>
  <si>
    <t>Ghatampur power station</t>
  </si>
  <si>
    <t>construction, construction, construction</t>
  </si>
  <si>
    <t>CI-33</t>
  </si>
  <si>
    <t>Guru Hargobind Lehra Mohabbat Power Station</t>
  </si>
  <si>
    <t>210, 210, 250, 250</t>
  </si>
  <si>
    <t>CI-34</t>
  </si>
  <si>
    <t>Guru Nanak Dev Thermal Power Station (GNDTP) Stage I</t>
  </si>
  <si>
    <t>110, 110, 110, 120</t>
  </si>
  <si>
    <t>CI-35</t>
  </si>
  <si>
    <t>Haldia Energy power station</t>
  </si>
  <si>
    <t>CI-36</t>
  </si>
  <si>
    <t>Haldia India Power</t>
  </si>
  <si>
    <t>150, 150, 150</t>
  </si>
  <si>
    <t>CI-37</t>
  </si>
  <si>
    <t>Harduaganj power station</t>
  </si>
  <si>
    <t>operating, operating, operating, operating, pre-permit</t>
  </si>
  <si>
    <t>660, 110, 250, 250, 660</t>
  </si>
  <si>
    <t>CI-38</t>
  </si>
  <si>
    <t>Hiranmaye Haldia power station</t>
  </si>
  <si>
    <t>150, 150</t>
  </si>
  <si>
    <t>CI-39</t>
  </si>
  <si>
    <t>Indira Gandhi Super Thermal Power Project</t>
  </si>
  <si>
    <t>500, 500, 500</t>
  </si>
  <si>
    <t>CI-40</t>
  </si>
  <si>
    <t>Jawaharpur Thermal Project</t>
  </si>
  <si>
    <t>CI-41</t>
  </si>
  <si>
    <t>Kahalgaon Super Thermal Power Plant</t>
  </si>
  <si>
    <t>operating, operating, operating, operating, operating, operating, operating</t>
  </si>
  <si>
    <t>210, 210, 210, 210, 500, 500, 500</t>
  </si>
  <si>
    <t>CI-42</t>
  </si>
  <si>
    <t>CI-43</t>
  </si>
  <si>
    <t>Katwa Thermal Power Station</t>
  </si>
  <si>
    <t>CI-44</t>
  </si>
  <si>
    <t>Khamberkhera IPP power station</t>
  </si>
  <si>
    <t>CI-45</t>
  </si>
  <si>
    <t>Khurja power station</t>
  </si>
  <si>
    <t>CI-46</t>
  </si>
  <si>
    <t>Kolaghat Thermal Power Station</t>
  </si>
  <si>
    <t>210, 210, 210, 210, 210, 210</t>
  </si>
  <si>
    <t>CI-47</t>
  </si>
  <si>
    <t>Kundarki Ipp power station</t>
  </si>
  <si>
    <t>CI-48</t>
  </si>
  <si>
    <t>Mahatma Gandhi power station</t>
  </si>
  <si>
    <t>CI-49</t>
  </si>
  <si>
    <t>Maqsoodpur power station</t>
  </si>
  <si>
    <t>CI-50</t>
  </si>
  <si>
    <t>Meja Thermal Power Project</t>
  </si>
  <si>
    <t>CI-51</t>
  </si>
  <si>
    <t>Mejia power station</t>
  </si>
  <si>
    <t>operating, operating, operating, operating, operating, operating, operating, operating</t>
  </si>
  <si>
    <t>500, 500, 210, 210, 210, 210, 250, 250</t>
  </si>
  <si>
    <t>CI-52</t>
  </si>
  <si>
    <t>Muzaffarpur power station</t>
  </si>
  <si>
    <t>construction, construction, operating, operating</t>
  </si>
  <si>
    <t>195, 195, 110, 110</t>
  </si>
  <si>
    <t>CI-53</t>
  </si>
  <si>
    <t>Nabinagar Super Thermal Power Project</t>
  </si>
  <si>
    <t>CI-54</t>
  </si>
  <si>
    <t>Nabinagar Thermal Power Project</t>
  </si>
  <si>
    <t>250, 250, 250, 250</t>
  </si>
  <si>
    <t>CI-55</t>
  </si>
  <si>
    <t>National Capital Dadri Thermal Power Plant</t>
  </si>
  <si>
    <t>210, 210, 210, 210, 490, 490</t>
  </si>
  <si>
    <t>CI-56</t>
  </si>
  <si>
    <t>Obra Thermal Power Station</t>
  </si>
  <si>
    <t>operating, operating, operating, operating, construction, construction, operating</t>
  </si>
  <si>
    <t>200, 200, 200, 200, 660, 660, 200</t>
  </si>
  <si>
    <t>CI-57</t>
  </si>
  <si>
    <t>Panipat power station</t>
  </si>
  <si>
    <t>110, 110, 110, 110, 210, 210, 250, 250</t>
  </si>
  <si>
    <t>CI-58</t>
  </si>
  <si>
    <t>Panki Thermal Power Station</t>
  </si>
  <si>
    <t>construction, operating, operating</t>
  </si>
  <si>
    <t>660, 105, 105</t>
  </si>
  <si>
    <t>CI-59</t>
  </si>
  <si>
    <t>67.5, 67.5</t>
  </si>
  <si>
    <t>CI-60</t>
  </si>
  <si>
    <t>Rajiv Gandhi Thermal Power Project</t>
  </si>
  <si>
    <t>CI-61</t>
  </si>
  <si>
    <t>Rajpura Thermal Power Project</t>
  </si>
  <si>
    <t>700, 700</t>
  </si>
  <si>
    <t>CI-62</t>
  </si>
  <si>
    <t>Renusagar power station</t>
  </si>
  <si>
    <t>operating, operating, operating, operating, operating, operating, operating, operating, operating, operating</t>
  </si>
  <si>
    <t>67.5, 75, 67.5, 74, 74, 68, 74, 74, 76.7, 75</t>
  </si>
  <si>
    <t>CI-63</t>
  </si>
  <si>
    <t>Rihand power station</t>
  </si>
  <si>
    <t>500, 500, 500, 500, 500, 500</t>
  </si>
  <si>
    <t>CI-64</t>
  </si>
  <si>
    <t>Rosa Thermal Power Plant</t>
  </si>
  <si>
    <t>300, 300, 300, 300</t>
  </si>
  <si>
    <t>CI-65</t>
  </si>
  <si>
    <t>Sagardighi Thermal Power Station</t>
  </si>
  <si>
    <t>operating, operating, operating, operating, construction</t>
  </si>
  <si>
    <t>300, 300, 500, 500, 660</t>
  </si>
  <si>
    <t>CI-66</t>
  </si>
  <si>
    <t>Singrauli Super Thermal Power Station</t>
  </si>
  <si>
    <t>operating, operating, operating, operating, operating, operating, operating, permitted, permitted</t>
  </si>
  <si>
    <t>200, 200, 200, 200, 200, 500, 500, 800, 800</t>
  </si>
  <si>
    <t>CI-67</t>
  </si>
  <si>
    <t>Southern CESC power station</t>
  </si>
  <si>
    <t>CI-68</t>
  </si>
  <si>
    <t>Suratgarh Super Thermal Power Station</t>
  </si>
  <si>
    <t>250, 250, 250, 250, 250, 250, 660, 660</t>
  </si>
  <si>
    <t>CI-69</t>
  </si>
  <si>
    <t>Talwandi Sabo Power Project</t>
  </si>
  <si>
    <t>CI-70</t>
  </si>
  <si>
    <t>Tanda power station</t>
  </si>
  <si>
    <t>660, 660, 110, 110, 110, 110</t>
  </si>
  <si>
    <t>CI-71</t>
  </si>
  <si>
    <t>CI-72</t>
  </si>
  <si>
    <t>Titagarh power station</t>
  </si>
  <si>
    <t>CI-73</t>
  </si>
  <si>
    <t>Utraula power station</t>
  </si>
  <si>
    <t>CI-74</t>
  </si>
  <si>
    <t>Welspun Energy Mirzapur power station</t>
  </si>
  <si>
    <t>CI-75</t>
  </si>
  <si>
    <t>Goindwal Sahib Thermal Power Plant</t>
  </si>
  <si>
    <t>CI-76</t>
  </si>
  <si>
    <t>Hasdeo Thermal Power Station (The Durgapur Projects Ltd)</t>
  </si>
  <si>
    <t>CI-77</t>
  </si>
  <si>
    <t>CI-78</t>
  </si>
  <si>
    <t>CI-79</t>
  </si>
  <si>
    <t>Jojobera Power Plant (Haldia Energy Ltd)</t>
  </si>
  <si>
    <t>Jojobera Power Plant (Uttar Pradesh Rajya Vidyut Utpadan Nigam Ltd)</t>
  </si>
  <si>
    <t>660,110, 250</t>
  </si>
  <si>
    <t>Lalitpur power project (The West Bengal Power Development Corp Ltd)</t>
  </si>
  <si>
    <t>Mirzapur power station</t>
  </si>
  <si>
    <t>Sabarmati power station (NTPC Ltd)</t>
  </si>
  <si>
    <t>CP-1</t>
  </si>
  <si>
    <t>Dera Ghazi Khan Cement power station</t>
  </si>
  <si>
    <t>Pakistan</t>
  </si>
  <si>
    <t>CP-2</t>
  </si>
  <si>
    <t>Fauji Fertilizer power station</t>
  </si>
  <si>
    <t>CP-3</t>
  </si>
  <si>
    <t>Hub Cement power station</t>
  </si>
  <si>
    <t>CP-4</t>
  </si>
  <si>
    <t>Hubco power station</t>
  </si>
  <si>
    <t>CP-5</t>
  </si>
  <si>
    <t>Jamshoro power station</t>
  </si>
  <si>
    <t>construction, permitted</t>
  </si>
  <si>
    <t>CP-6</t>
  </si>
  <si>
    <t>Keti Bandar power station</t>
  </si>
  <si>
    <t>CP-7</t>
  </si>
  <si>
    <t>Muzaffargarh sugar mill power station</t>
  </si>
  <si>
    <t>CP-8</t>
  </si>
  <si>
    <t>Port Qasim EPC power station</t>
  </si>
  <si>
    <t>CP-9</t>
  </si>
  <si>
    <t>Port Qasim Lucky power station</t>
  </si>
  <si>
    <t>CP-10</t>
  </si>
  <si>
    <t>Sahiwal power station</t>
  </si>
  <si>
    <t>CP-11</t>
  </si>
  <si>
    <t>Siddiqsons power station</t>
  </si>
  <si>
    <t>permitted</t>
  </si>
  <si>
    <t>CP-12</t>
  </si>
  <si>
    <t>ThalNova power station</t>
  </si>
  <si>
    <t>CP-13</t>
  </si>
  <si>
    <t>Thar Block I power station</t>
  </si>
  <si>
    <t>CP-14</t>
  </si>
  <si>
    <t>Thar Block II power station</t>
  </si>
  <si>
    <t>330, 330</t>
  </si>
  <si>
    <t>CP-15</t>
  </si>
  <si>
    <t>Thar Block VI power station</t>
  </si>
  <si>
    <t>CP-16</t>
  </si>
  <si>
    <t>Thar Energy Limited power station</t>
  </si>
  <si>
    <t>CP-17</t>
  </si>
  <si>
    <t>Master Power Plant</t>
  </si>
  <si>
    <t>CP-18</t>
  </si>
  <si>
    <t>Sheikhupura power station</t>
  </si>
  <si>
    <t>construction</t>
  </si>
  <si>
    <t>CP-19</t>
  </si>
  <si>
    <t>CP-20</t>
  </si>
  <si>
    <t>Nestle Power Plant</t>
  </si>
  <si>
    <t>CP-21</t>
  </si>
  <si>
    <t>Bin Ajmal Rice Processing Mills</t>
  </si>
  <si>
    <t>CP-22</t>
  </si>
  <si>
    <t>Faisalabad Sitara Chemical power plant</t>
  </si>
  <si>
    <t>CP-23</t>
  </si>
  <si>
    <t>Maple Leaf power station</t>
  </si>
  <si>
    <t>capacity_power</t>
  </si>
  <si>
    <t>pm10_t_yr</t>
  </si>
  <si>
    <t>pm25_t_yr</t>
  </si>
  <si>
    <t>so2_t_yr</t>
  </si>
  <si>
    <t>nox_t_yr</t>
  </si>
  <si>
    <t>coal plant</t>
  </si>
  <si>
    <t>coal</t>
  </si>
  <si>
    <t>Dinajpur</t>
  </si>
  <si>
    <t>Patuakhali</t>
  </si>
  <si>
    <t>Khulna</t>
  </si>
  <si>
    <t>Pollutant</t>
  </si>
  <si>
    <t>EF</t>
  </si>
  <si>
    <t>Unit</t>
  </si>
  <si>
    <t>EF normalised (tonnes of pollutant/tonnes of production)</t>
  </si>
  <si>
    <t>Notes</t>
  </si>
  <si>
    <t>PM2.5</t>
  </si>
  <si>
    <t xml:space="preserve"> tonne/000 tonnes</t>
  </si>
  <si>
    <t>Averaged from a range =  0.16-0.22</t>
  </si>
  <si>
    <t>SO2</t>
  </si>
  <si>
    <t>NOx</t>
  </si>
  <si>
    <t>Averaged from a range =  4.22 - 4.38</t>
  </si>
  <si>
    <t>PM10</t>
  </si>
  <si>
    <t>Averaged from a range =  0.29-0.45</t>
  </si>
  <si>
    <t>Source</t>
  </si>
  <si>
    <t>India Air Quality - Coal Power Plants Emissions - reference for PM2.5 and PM10</t>
  </si>
  <si>
    <t xml:space="preserve">https://www.indiaairquality.info/wp-content/uploads/docs/2014-08-AE-Emissions-Health-Coal-PPs-India.pdf </t>
  </si>
  <si>
    <t>US EPA - Emissions Inventory Conference - Reference for So2 and Nox</t>
  </si>
  <si>
    <t>Jharkhand</t>
  </si>
  <si>
    <t>captive power plant</t>
  </si>
  <si>
    <t>Uttar Pradesh</t>
  </si>
  <si>
    <t>West Bengal</t>
  </si>
  <si>
    <t>Bihar</t>
  </si>
  <si>
    <t>Haryana</t>
  </si>
  <si>
    <t>Punjab</t>
  </si>
  <si>
    <t>Rajasthan</t>
  </si>
  <si>
    <t>Sindh</t>
  </si>
  <si>
    <t>Balochistan</t>
  </si>
  <si>
    <t>lignite</t>
  </si>
  <si>
    <t>capacities</t>
  </si>
  <si>
    <t>CB-5</t>
  </si>
  <si>
    <t>Barisal</t>
  </si>
  <si>
    <t>Barisal power station</t>
  </si>
  <si>
    <t>Pirpainti Thermal Power station</t>
  </si>
  <si>
    <t>pre-permit, pre-permit, pre-permit</t>
  </si>
  <si>
    <t>800, 800, 800</t>
  </si>
  <si>
    <t>Durgapur DVC power station</t>
  </si>
  <si>
    <t>Salboni Power Plant</t>
  </si>
  <si>
    <t>40, 40</t>
  </si>
  <si>
    <t>Khushab Coal-Fired Thermal Power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</si>
</sst>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3F3F3F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9">
    <xf numFmtId="0" fontId="0" fillId="0" borderId="0" xfId="0"/>
    <xf numFmtId="0" fontId="18" fillId="6" borderId="5" xfId="10" applyFont="1"/>
    <xf numFmtId="0" fontId="19" fillId="0" borderId="0" xfId="0" applyFont="1"/>
    <xf numFmtId="0" fontId="21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top" wrapText="1"/>
    </xf>
    <xf numFmtId="0" fontId="20" fillId="0" borderId="0" xfId="42"/>
    <xf numFmtId="3" fontId="19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iaairquality.info/wp-content/uploads/docs/2014-08-AE-Emissions-Health-Coal-PPs-Indi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3BC9-8D34-443D-A17E-A52D34E7E81A}">
  <dimension ref="A1:T108"/>
  <sheetViews>
    <sheetView tabSelected="1" topLeftCell="I1" workbookViewId="0">
      <selection activeCell="N2" sqref="N2"/>
    </sheetView>
  </sheetViews>
  <sheetFormatPr defaultRowHeight="14.4" x14ac:dyDescent="0.3"/>
  <cols>
    <col min="2" max="2" width="57.44140625" bestFit="1" customWidth="1"/>
    <col min="5" max="5" width="9.5546875" bestFit="1" customWidth="1"/>
    <col min="9" max="9" width="32.88671875" customWidth="1"/>
    <col min="10" max="10" width="24.109375" customWidth="1"/>
    <col min="11" max="11" width="16" customWidth="1"/>
    <col min="12" max="12" width="13.6640625" bestFit="1" customWidth="1"/>
    <col min="13" max="13" width="10.109375" bestFit="1" customWidth="1"/>
    <col min="14" max="14" width="15.44140625" customWidth="1"/>
    <col min="16" max="16" width="13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335</v>
      </c>
      <c r="K1" s="1" t="s">
        <v>297</v>
      </c>
      <c r="L1" s="1" t="s">
        <v>9</v>
      </c>
      <c r="M1" s="1" t="s">
        <v>10</v>
      </c>
      <c r="N1" s="1" t="s">
        <v>298</v>
      </c>
      <c r="O1" s="1" t="s">
        <v>11</v>
      </c>
      <c r="P1" s="1" t="s">
        <v>299</v>
      </c>
      <c r="Q1" s="1" t="s">
        <v>12</v>
      </c>
      <c r="R1" s="1" t="s">
        <v>300</v>
      </c>
      <c r="S1" s="1" t="s">
        <v>13</v>
      </c>
      <c r="T1" s="1" t="s">
        <v>301</v>
      </c>
    </row>
    <row r="2" spans="1:20" x14ac:dyDescent="0.3">
      <c r="A2" s="2" t="s">
        <v>14</v>
      </c>
      <c r="B2" s="2" t="s">
        <v>15</v>
      </c>
      <c r="C2" s="2">
        <v>25.5537569</v>
      </c>
      <c r="D2" s="2">
        <v>88.948631199999994</v>
      </c>
      <c r="E2" s="2" t="s">
        <v>302</v>
      </c>
      <c r="F2" s="2" t="s">
        <v>303</v>
      </c>
      <c r="G2" s="2" t="s">
        <v>304</v>
      </c>
      <c r="H2" s="2" t="s">
        <v>16</v>
      </c>
      <c r="I2" s="2" t="s">
        <v>17</v>
      </c>
      <c r="J2" s="2" t="s">
        <v>18</v>
      </c>
      <c r="K2" s="2" cm="1">
        <f t="array" ref="K2">SUM(VALUE(_xlfn.TEXTSPLIT(J2, ",")))</f>
        <v>525</v>
      </c>
      <c r="L2" s="2">
        <f>(K2*1000*24*365)</f>
        <v>4599000000</v>
      </c>
      <c r="M2" s="2">
        <f>Sheet1!$D$5</f>
        <v>3.6999999999999999E-4</v>
      </c>
      <c r="N2" s="2">
        <f>((L2*M2)/1000)*0.05</f>
        <v>85.081500000000005</v>
      </c>
      <c r="O2" s="2">
        <f>Sheet1!$D$2</f>
        <v>1.9000000000000001E-4</v>
      </c>
      <c r="P2" s="2">
        <f>((L2*O2)/1000)*0.05</f>
        <v>43.6905</v>
      </c>
      <c r="Q2" s="2">
        <f>Sheet1!$D$3</f>
        <v>7.1999999999999998E-3</v>
      </c>
      <c r="R2" s="2">
        <f>((L2*Q2)/1000)*0.05</f>
        <v>1655.6400000000003</v>
      </c>
      <c r="S2" s="2">
        <f>Sheet1!$D$4</f>
        <v>4.3E-3</v>
      </c>
      <c r="T2" s="2">
        <f>((S2*L2)/1000)*0.05</f>
        <v>988.78500000000008</v>
      </c>
    </row>
    <row r="3" spans="1:20" x14ac:dyDescent="0.3">
      <c r="A3" s="2" t="s">
        <v>19</v>
      </c>
      <c r="B3" s="2" t="s">
        <v>20</v>
      </c>
      <c r="C3" s="2">
        <v>22.025148999999999</v>
      </c>
      <c r="D3" s="2">
        <v>90.312348999999998</v>
      </c>
      <c r="E3" s="2" t="s">
        <v>302</v>
      </c>
      <c r="F3" s="2" t="s">
        <v>303</v>
      </c>
      <c r="G3" s="2" t="s">
        <v>305</v>
      </c>
      <c r="H3" s="2" t="s">
        <v>16</v>
      </c>
      <c r="I3" s="2" t="s">
        <v>21</v>
      </c>
      <c r="J3" s="2" t="s">
        <v>22</v>
      </c>
      <c r="K3" s="2" cm="1">
        <f t="array" ref="K3">SUM(VALUE(_xlfn.TEXTSPLIT(J3, ",")))</f>
        <v>1320</v>
      </c>
      <c r="L3" s="2">
        <f t="shared" ref="L3:L14" si="0">(K3*1000*24*365)</f>
        <v>11563200000</v>
      </c>
      <c r="M3" s="2">
        <f>Sheet1!$D$5</f>
        <v>3.6999999999999999E-4</v>
      </c>
      <c r="N3" s="2">
        <f t="shared" ref="N3:N15" si="1">((L3*M3)/1000)*0.05</f>
        <v>213.91920000000002</v>
      </c>
      <c r="O3" s="2">
        <f>Sheet1!$D$2</f>
        <v>1.9000000000000001E-4</v>
      </c>
      <c r="P3" s="2">
        <f t="shared" ref="P3:P63" si="2">((L3*O3)/1000)*0.05</f>
        <v>109.85039999999999</v>
      </c>
      <c r="Q3" s="2">
        <f>Sheet1!$D$3</f>
        <v>7.1999999999999998E-3</v>
      </c>
      <c r="R3" s="2">
        <f t="shared" ref="R3:R63" si="3">((L3*Q3)/1000)*0.05</f>
        <v>4162.7519999999995</v>
      </c>
      <c r="S3" s="2">
        <f>Sheet1!$D$4</f>
        <v>4.3E-3</v>
      </c>
      <c r="T3" s="2">
        <f t="shared" ref="T3:T63" si="4">((S3*L3)/1000)*0.05</f>
        <v>2486.0880000000002</v>
      </c>
    </row>
    <row r="4" spans="1:20" x14ac:dyDescent="0.3">
      <c r="A4" s="2" t="s">
        <v>23</v>
      </c>
      <c r="B4" s="2" t="s">
        <v>24</v>
      </c>
      <c r="C4" s="2">
        <v>21.999778095420201</v>
      </c>
      <c r="D4" s="2">
        <v>90.305585684562402</v>
      </c>
      <c r="E4" s="2" t="s">
        <v>302</v>
      </c>
      <c r="F4" s="2" t="s">
        <v>303</v>
      </c>
      <c r="G4" s="2" t="s">
        <v>305</v>
      </c>
      <c r="H4" s="2" t="s">
        <v>16</v>
      </c>
      <c r="I4" s="2" t="s">
        <v>25</v>
      </c>
      <c r="J4" s="2" t="s">
        <v>26</v>
      </c>
      <c r="K4" s="2" cm="1">
        <f t="array" ref="K4">SUM(VALUE(_xlfn.TEXTSPLIT(J4, ",")))</f>
        <v>2640</v>
      </c>
      <c r="L4" s="2">
        <f t="shared" si="0"/>
        <v>23126400000</v>
      </c>
      <c r="M4" s="2">
        <f>Sheet1!$D$5</f>
        <v>3.6999999999999999E-4</v>
      </c>
      <c r="N4" s="2">
        <f t="shared" si="1"/>
        <v>427.83840000000004</v>
      </c>
      <c r="O4" s="2">
        <f>Sheet1!$D$2</f>
        <v>1.9000000000000001E-4</v>
      </c>
      <c r="P4" s="2">
        <f t="shared" si="2"/>
        <v>219.70079999999999</v>
      </c>
      <c r="Q4" s="2">
        <f>Sheet1!$D$3</f>
        <v>7.1999999999999998E-3</v>
      </c>
      <c r="R4" s="2">
        <f t="shared" si="3"/>
        <v>8325.503999999999</v>
      </c>
      <c r="S4" s="2">
        <f>Sheet1!$D$4</f>
        <v>4.3E-3</v>
      </c>
      <c r="T4" s="2">
        <f t="shared" si="4"/>
        <v>4972.1760000000004</v>
      </c>
    </row>
    <row r="5" spans="1:20" x14ac:dyDescent="0.3">
      <c r="A5" s="2" t="s">
        <v>336</v>
      </c>
      <c r="B5" s="2" t="s">
        <v>338</v>
      </c>
      <c r="C5" s="2">
        <v>21.963000000000001</v>
      </c>
      <c r="D5" s="2">
        <v>90.0655</v>
      </c>
      <c r="E5" s="2" t="s">
        <v>302</v>
      </c>
      <c r="F5" s="2" t="s">
        <v>303</v>
      </c>
      <c r="G5" s="2" t="s">
        <v>337</v>
      </c>
      <c r="H5" s="2" t="s">
        <v>16</v>
      </c>
      <c r="I5" s="2" t="s">
        <v>55</v>
      </c>
      <c r="J5" s="2">
        <v>350</v>
      </c>
      <c r="K5" s="2" cm="1">
        <f t="array" ref="K5">SUM(VALUE(_xlfn.TEXTSPLIT(J5, ",")))</f>
        <v>350</v>
      </c>
      <c r="L5" s="2">
        <f t="shared" si="0"/>
        <v>3066000000</v>
      </c>
      <c r="M5" s="2">
        <f>Sheet1!$D$5</f>
        <v>3.6999999999999999E-4</v>
      </c>
      <c r="N5" s="2">
        <f t="shared" si="1"/>
        <v>56.721000000000004</v>
      </c>
      <c r="O5" s="2">
        <f>Sheet1!$D$2</f>
        <v>1.9000000000000001E-4</v>
      </c>
      <c r="P5" s="2">
        <f t="shared" si="2"/>
        <v>29.126999999999999</v>
      </c>
      <c r="Q5" s="2">
        <f>Sheet1!$D$3</f>
        <v>7.1999999999999998E-3</v>
      </c>
      <c r="R5" s="2">
        <f t="shared" si="3"/>
        <v>1103.76</v>
      </c>
      <c r="S5" s="2">
        <f>Sheet1!$D$4</f>
        <v>4.3E-3</v>
      </c>
      <c r="T5" s="2">
        <f t="shared" si="4"/>
        <v>659.19</v>
      </c>
    </row>
    <row r="6" spans="1:20" x14ac:dyDescent="0.3">
      <c r="A6" s="2" t="s">
        <v>27</v>
      </c>
      <c r="B6" s="2" t="s">
        <v>28</v>
      </c>
      <c r="C6" s="2">
        <v>22.592458199999999</v>
      </c>
      <c r="D6" s="2">
        <v>89.556426999999999</v>
      </c>
      <c r="E6" s="2" t="s">
        <v>302</v>
      </c>
      <c r="F6" s="2" t="s">
        <v>303</v>
      </c>
      <c r="G6" s="2" t="s">
        <v>306</v>
      </c>
      <c r="H6" s="2" t="s">
        <v>16</v>
      </c>
      <c r="I6" s="2" t="s">
        <v>29</v>
      </c>
      <c r="J6" s="2" t="s">
        <v>22</v>
      </c>
      <c r="K6" s="2" cm="1">
        <f t="array" ref="K6">SUM(VALUE(_xlfn.TEXTSPLIT(J6, ",")))</f>
        <v>1320</v>
      </c>
      <c r="L6" s="2">
        <f t="shared" si="0"/>
        <v>11563200000</v>
      </c>
      <c r="M6" s="2">
        <f>Sheet1!$D$5</f>
        <v>3.6999999999999999E-4</v>
      </c>
      <c r="N6" s="2">
        <f t="shared" si="1"/>
        <v>213.91920000000002</v>
      </c>
      <c r="O6" s="2">
        <f>Sheet1!$D$2</f>
        <v>1.9000000000000001E-4</v>
      </c>
      <c r="P6" s="2">
        <f t="shared" si="2"/>
        <v>109.85039999999999</v>
      </c>
      <c r="Q6" s="2">
        <f>Sheet1!$D$3</f>
        <v>7.1999999999999998E-3</v>
      </c>
      <c r="R6" s="2">
        <f t="shared" si="3"/>
        <v>4162.7519999999995</v>
      </c>
      <c r="S6" s="2">
        <f>Sheet1!$D$4</f>
        <v>4.3E-3</v>
      </c>
      <c r="T6" s="2">
        <f t="shared" si="4"/>
        <v>2486.0880000000002</v>
      </c>
    </row>
    <row r="7" spans="1:20" x14ac:dyDescent="0.3">
      <c r="A7" s="2" t="s">
        <v>30</v>
      </c>
      <c r="B7" s="2" t="s">
        <v>31</v>
      </c>
      <c r="C7" s="2">
        <v>24.814109999999999</v>
      </c>
      <c r="D7" s="2">
        <v>87.135469999999998</v>
      </c>
      <c r="E7" s="2" t="s">
        <v>302</v>
      </c>
      <c r="F7" s="2" t="s">
        <v>303</v>
      </c>
      <c r="G7" s="2" t="s">
        <v>324</v>
      </c>
      <c r="H7" s="2" t="s">
        <v>32</v>
      </c>
      <c r="I7" s="2" t="s">
        <v>33</v>
      </c>
      <c r="J7" s="2" t="s">
        <v>34</v>
      </c>
      <c r="K7" s="2" cm="1">
        <f t="array" ref="K7">SUM(VALUE(_xlfn.TEXTSPLIT(J7, ",")))</f>
        <v>1600</v>
      </c>
      <c r="L7" s="2">
        <f t="shared" si="0"/>
        <v>14016000000</v>
      </c>
      <c r="M7" s="2">
        <f>Sheet1!$D$5</f>
        <v>3.6999999999999999E-4</v>
      </c>
      <c r="N7" s="2">
        <f t="shared" si="1"/>
        <v>259.29599999999999</v>
      </c>
      <c r="O7" s="2">
        <f>Sheet1!$D$2</f>
        <v>1.9000000000000001E-4</v>
      </c>
      <c r="P7" s="2">
        <f t="shared" si="2"/>
        <v>133.15200000000002</v>
      </c>
      <c r="Q7" s="2">
        <f>Sheet1!$D$3</f>
        <v>7.1999999999999998E-3</v>
      </c>
      <c r="R7" s="2">
        <f t="shared" si="3"/>
        <v>5045.76</v>
      </c>
      <c r="S7" s="2">
        <f>Sheet1!$D$4</f>
        <v>4.3E-3</v>
      </c>
      <c r="T7" s="2">
        <f t="shared" si="4"/>
        <v>3013.4400000000005</v>
      </c>
    </row>
    <row r="8" spans="1:20" x14ac:dyDescent="0.3">
      <c r="A8" s="2" t="s">
        <v>35</v>
      </c>
      <c r="B8" s="2" t="s">
        <v>36</v>
      </c>
      <c r="C8" s="2">
        <v>25.145869999999999</v>
      </c>
      <c r="D8" s="2">
        <v>81.940100000000001</v>
      </c>
      <c r="E8" s="2" t="s">
        <v>325</v>
      </c>
      <c r="F8" s="2" t="s">
        <v>303</v>
      </c>
      <c r="G8" s="2" t="s">
        <v>326</v>
      </c>
      <c r="H8" s="2" t="s">
        <v>32</v>
      </c>
      <c r="I8" s="2" t="s">
        <v>37</v>
      </c>
      <c r="J8" s="2">
        <v>800</v>
      </c>
      <c r="K8" s="2" cm="1">
        <f t="array" ref="K8">SUM(VALUE(_xlfn.TEXTSPLIT(J8, ",")))</f>
        <v>800</v>
      </c>
      <c r="L8" s="2">
        <f t="shared" si="0"/>
        <v>7008000000</v>
      </c>
      <c r="M8" s="2">
        <f>Sheet1!$D$5</f>
        <v>3.6999999999999999E-4</v>
      </c>
      <c r="N8" s="2">
        <f t="shared" si="1"/>
        <v>129.648</v>
      </c>
      <c r="O8" s="2">
        <f>Sheet1!$D$2</f>
        <v>1.9000000000000001E-4</v>
      </c>
      <c r="P8" s="2">
        <f t="shared" si="2"/>
        <v>66.576000000000008</v>
      </c>
      <c r="Q8" s="2">
        <f>Sheet1!$D$3</f>
        <v>7.1999999999999998E-3</v>
      </c>
      <c r="R8" s="2">
        <f t="shared" si="3"/>
        <v>2522.88</v>
      </c>
      <c r="S8" s="2">
        <f>Sheet1!$D$4</f>
        <v>4.3E-3</v>
      </c>
      <c r="T8" s="2">
        <f t="shared" si="4"/>
        <v>1506.7200000000003</v>
      </c>
    </row>
    <row r="9" spans="1:20" x14ac:dyDescent="0.3">
      <c r="A9" s="2" t="s">
        <v>38</v>
      </c>
      <c r="B9" s="2" t="s">
        <v>39</v>
      </c>
      <c r="C9" s="2">
        <v>25.136579999999999</v>
      </c>
      <c r="D9" s="2">
        <v>82.562200000000004</v>
      </c>
      <c r="E9" s="2" t="s">
        <v>325</v>
      </c>
      <c r="F9" s="2" t="s">
        <v>303</v>
      </c>
      <c r="G9" s="2" t="s">
        <v>326</v>
      </c>
      <c r="H9" s="2" t="s">
        <v>32</v>
      </c>
      <c r="I9" s="2" t="s">
        <v>37</v>
      </c>
      <c r="J9" s="2">
        <v>800</v>
      </c>
      <c r="K9" s="2" cm="1">
        <f t="array" ref="K9">SUM(VALUE(_xlfn.TEXTSPLIT(J9, ",")))</f>
        <v>800</v>
      </c>
      <c r="L9" s="2">
        <f t="shared" si="0"/>
        <v>7008000000</v>
      </c>
      <c r="M9" s="2">
        <f>Sheet1!$D$5</f>
        <v>3.6999999999999999E-4</v>
      </c>
      <c r="N9" s="2">
        <f t="shared" si="1"/>
        <v>129.648</v>
      </c>
      <c r="O9" s="2">
        <f>Sheet1!$D$2</f>
        <v>1.9000000000000001E-4</v>
      </c>
      <c r="P9" s="2">
        <f t="shared" si="2"/>
        <v>66.576000000000008</v>
      </c>
      <c r="Q9" s="2">
        <f>Sheet1!$D$3</f>
        <v>7.1999999999999998E-3</v>
      </c>
      <c r="R9" s="2">
        <f t="shared" si="3"/>
        <v>2522.88</v>
      </c>
      <c r="S9" s="2">
        <f>Sheet1!$D$4</f>
        <v>4.3E-3</v>
      </c>
      <c r="T9" s="2">
        <f t="shared" si="4"/>
        <v>1506.7200000000003</v>
      </c>
    </row>
    <row r="10" spans="1:20" x14ac:dyDescent="0.3">
      <c r="A10" s="2" t="s">
        <v>40</v>
      </c>
      <c r="B10" s="2" t="s">
        <v>41</v>
      </c>
      <c r="C10" s="2">
        <v>24.20204</v>
      </c>
      <c r="D10" s="2">
        <v>82.78913</v>
      </c>
      <c r="E10" s="2" t="s">
        <v>302</v>
      </c>
      <c r="F10" s="2" t="s">
        <v>303</v>
      </c>
      <c r="G10" s="2" t="s">
        <v>326</v>
      </c>
      <c r="H10" s="2" t="s">
        <v>32</v>
      </c>
      <c r="I10" s="2" t="s">
        <v>42</v>
      </c>
      <c r="J10" s="2" t="s">
        <v>43</v>
      </c>
      <c r="K10" s="2" cm="1">
        <f t="array" ref="K10">SUM(VALUE(_xlfn.TEXTSPLIT(J10, ",")))</f>
        <v>1630</v>
      </c>
      <c r="L10" s="2">
        <f t="shared" si="0"/>
        <v>14278800000</v>
      </c>
      <c r="M10" s="2">
        <f>Sheet1!$D$5</f>
        <v>3.6999999999999999E-4</v>
      </c>
      <c r="N10" s="2">
        <f t="shared" si="1"/>
        <v>264.15780000000001</v>
      </c>
      <c r="O10" s="2">
        <f>Sheet1!$D$2</f>
        <v>1.9000000000000001E-4</v>
      </c>
      <c r="P10" s="2">
        <f t="shared" si="2"/>
        <v>135.64860000000002</v>
      </c>
      <c r="Q10" s="2">
        <f>Sheet1!$D$3</f>
        <v>7.1999999999999998E-3</v>
      </c>
      <c r="R10" s="2">
        <f t="shared" si="3"/>
        <v>5140.3680000000004</v>
      </c>
      <c r="S10" s="2">
        <f>Sheet1!$D$4</f>
        <v>4.3E-3</v>
      </c>
      <c r="T10" s="2">
        <f t="shared" si="4"/>
        <v>3069.942</v>
      </c>
    </row>
    <row r="11" spans="1:20" x14ac:dyDescent="0.3">
      <c r="A11" s="2" t="s">
        <v>44</v>
      </c>
      <c r="B11" s="2" t="s">
        <v>45</v>
      </c>
      <c r="C11" s="2">
        <v>24.203790000000001</v>
      </c>
      <c r="D11" s="2">
        <v>82.797330000000002</v>
      </c>
      <c r="E11" s="2" t="s">
        <v>302</v>
      </c>
      <c r="F11" s="2" t="s">
        <v>303</v>
      </c>
      <c r="G11" s="2" t="s">
        <v>326</v>
      </c>
      <c r="H11" s="2" t="s">
        <v>32</v>
      </c>
      <c r="I11" s="2" t="s">
        <v>33</v>
      </c>
      <c r="J11" s="2" t="s">
        <v>46</v>
      </c>
      <c r="K11" s="2" cm="1">
        <f t="array" ref="K11">SUM(VALUE(_xlfn.TEXTSPLIT(J11, ",")))</f>
        <v>1200</v>
      </c>
      <c r="L11" s="2">
        <f t="shared" si="0"/>
        <v>10512000000</v>
      </c>
      <c r="M11" s="2">
        <f>Sheet1!$D$5</f>
        <v>3.6999999999999999E-4</v>
      </c>
      <c r="N11" s="2">
        <f t="shared" si="1"/>
        <v>194.47200000000001</v>
      </c>
      <c r="O11" s="2">
        <f>Sheet1!$D$2</f>
        <v>1.9000000000000001E-4</v>
      </c>
      <c r="P11" s="2">
        <f t="shared" si="2"/>
        <v>99.864000000000004</v>
      </c>
      <c r="Q11" s="2">
        <f>Sheet1!$D$3</f>
        <v>7.1999999999999998E-3</v>
      </c>
      <c r="R11" s="2">
        <f t="shared" si="3"/>
        <v>3784.3199999999997</v>
      </c>
      <c r="S11" s="2">
        <f>Sheet1!$D$4</f>
        <v>4.3E-3</v>
      </c>
      <c r="T11" s="2">
        <f t="shared" si="4"/>
        <v>2260.08</v>
      </c>
    </row>
    <row r="12" spans="1:20" x14ac:dyDescent="0.3">
      <c r="A12" s="2" t="s">
        <v>47</v>
      </c>
      <c r="B12" s="2" t="s">
        <v>48</v>
      </c>
      <c r="C12" s="2">
        <v>24.196259999999999</v>
      </c>
      <c r="D12" s="2">
        <v>82.806340000000006</v>
      </c>
      <c r="E12" s="2" t="s">
        <v>302</v>
      </c>
      <c r="F12" s="2" t="s">
        <v>303</v>
      </c>
      <c r="G12" s="2" t="s">
        <v>326</v>
      </c>
      <c r="H12" s="2" t="s">
        <v>32</v>
      </c>
      <c r="I12" s="2" t="s">
        <v>33</v>
      </c>
      <c r="J12" s="2" t="s">
        <v>49</v>
      </c>
      <c r="K12" s="2" cm="1">
        <f t="array" ref="K12">SUM(VALUE(_xlfn.TEXTSPLIT(J12, ",")))</f>
        <v>1000</v>
      </c>
      <c r="L12" s="2">
        <f t="shared" si="0"/>
        <v>8760000000</v>
      </c>
      <c r="M12" s="2">
        <f>Sheet1!$D$5</f>
        <v>3.6999999999999999E-4</v>
      </c>
      <c r="N12" s="2">
        <f t="shared" si="1"/>
        <v>162.06</v>
      </c>
      <c r="O12" s="2">
        <f>Sheet1!$D$2</f>
        <v>1.9000000000000001E-4</v>
      </c>
      <c r="P12" s="2">
        <f t="shared" si="2"/>
        <v>83.220000000000013</v>
      </c>
      <c r="Q12" s="2">
        <f>Sheet1!$D$3</f>
        <v>7.1999999999999998E-3</v>
      </c>
      <c r="R12" s="2">
        <f t="shared" si="3"/>
        <v>3153.6000000000004</v>
      </c>
      <c r="S12" s="2">
        <f>Sheet1!$D$4</f>
        <v>4.3E-3</v>
      </c>
      <c r="T12" s="2">
        <f t="shared" si="4"/>
        <v>1883.4</v>
      </c>
    </row>
    <row r="13" spans="1:20" x14ac:dyDescent="0.3">
      <c r="A13" s="2" t="s">
        <v>50</v>
      </c>
      <c r="B13" s="2" t="s">
        <v>51</v>
      </c>
      <c r="C13" s="2">
        <v>26.192779999999999</v>
      </c>
      <c r="D13" s="2">
        <v>79.940280000000001</v>
      </c>
      <c r="E13" s="2" t="s">
        <v>302</v>
      </c>
      <c r="F13" s="2" t="s">
        <v>303</v>
      </c>
      <c r="G13" s="2" t="s">
        <v>326</v>
      </c>
      <c r="H13" s="2" t="s">
        <v>32</v>
      </c>
      <c r="I13" s="2" t="s">
        <v>52</v>
      </c>
      <c r="J13" s="2" t="s">
        <v>22</v>
      </c>
      <c r="K13" s="2" cm="1">
        <f t="array" ref="K13">SUM(VALUE(_xlfn.TEXTSPLIT(J13, ",")))</f>
        <v>1320</v>
      </c>
      <c r="L13" s="2">
        <f t="shared" si="0"/>
        <v>11563200000</v>
      </c>
      <c r="M13" s="2">
        <f>Sheet1!$D$5</f>
        <v>3.6999999999999999E-4</v>
      </c>
      <c r="N13" s="2">
        <f t="shared" si="1"/>
        <v>213.91920000000002</v>
      </c>
      <c r="O13" s="2">
        <f>Sheet1!$D$2</f>
        <v>1.9000000000000001E-4</v>
      </c>
      <c r="P13" s="2">
        <f t="shared" si="2"/>
        <v>109.85039999999999</v>
      </c>
      <c r="Q13" s="2">
        <f>Sheet1!$D$3</f>
        <v>7.1999999999999998E-3</v>
      </c>
      <c r="R13" s="2">
        <f t="shared" si="3"/>
        <v>4162.7519999999995</v>
      </c>
      <c r="S13" s="2">
        <f>Sheet1!$D$4</f>
        <v>4.3E-3</v>
      </c>
      <c r="T13" s="2">
        <f t="shared" si="4"/>
        <v>2486.0880000000002</v>
      </c>
    </row>
    <row r="14" spans="1:20" x14ac:dyDescent="0.3">
      <c r="A14" s="2" t="s">
        <v>53</v>
      </c>
      <c r="B14" s="2" t="s">
        <v>54</v>
      </c>
      <c r="C14">
        <v>23.784570200000001</v>
      </c>
      <c r="D14">
        <v>87.047244610000007</v>
      </c>
      <c r="E14" s="2" t="s">
        <v>302</v>
      </c>
      <c r="F14" s="2" t="s">
        <v>303</v>
      </c>
      <c r="G14" s="2" t="s">
        <v>327</v>
      </c>
      <c r="H14" s="2" t="s">
        <v>32</v>
      </c>
      <c r="I14" s="2" t="s">
        <v>55</v>
      </c>
      <c r="J14" s="2">
        <v>40</v>
      </c>
      <c r="K14" s="2" cm="1">
        <f t="array" ref="K14">SUM(VALUE(_xlfn.TEXTSPLIT(J14, ",")))</f>
        <v>40</v>
      </c>
      <c r="L14" s="2">
        <f t="shared" si="0"/>
        <v>350400000</v>
      </c>
      <c r="M14" s="2">
        <f>Sheet1!$D$5</f>
        <v>3.6999999999999999E-4</v>
      </c>
      <c r="N14" s="2">
        <f t="shared" si="1"/>
        <v>6.4824000000000002</v>
      </c>
      <c r="O14" s="2">
        <f>Sheet1!$D$2</f>
        <v>1.9000000000000001E-4</v>
      </c>
      <c r="P14" s="2">
        <f t="shared" si="2"/>
        <v>3.3287999999999998</v>
      </c>
      <c r="Q14" s="2">
        <f>Sheet1!$D$3</f>
        <v>7.1999999999999998E-3</v>
      </c>
      <c r="R14" s="2">
        <f t="shared" si="3"/>
        <v>126.14400000000001</v>
      </c>
      <c r="S14" s="2">
        <f>Sheet1!$D$4</f>
        <v>4.3E-3</v>
      </c>
      <c r="T14" s="2">
        <f t="shared" si="4"/>
        <v>75.335999999999999</v>
      </c>
    </row>
    <row r="15" spans="1:20" x14ac:dyDescent="0.3">
      <c r="A15" s="2" t="s">
        <v>56</v>
      </c>
      <c r="B15" s="2" t="s">
        <v>57</v>
      </c>
      <c r="C15" s="2">
        <v>22.995745599999999</v>
      </c>
      <c r="D15" s="2">
        <v>88.403815399999999</v>
      </c>
      <c r="E15" s="2" t="s">
        <v>302</v>
      </c>
      <c r="F15" s="2" t="s">
        <v>303</v>
      </c>
      <c r="G15" s="2" t="s">
        <v>327</v>
      </c>
      <c r="H15" s="2" t="s">
        <v>32</v>
      </c>
      <c r="I15" s="2" t="s">
        <v>17</v>
      </c>
      <c r="J15" s="2" t="s">
        <v>58</v>
      </c>
      <c r="K15" s="2" cm="1">
        <f t="array" ref="K15">SUM(VALUE(_xlfn.TEXTSPLIT(J15, ",")))</f>
        <v>285</v>
      </c>
      <c r="L15" s="2">
        <f t="shared" ref="L15:L63" si="5">(K15*1000*24*365)</f>
        <v>2496600000</v>
      </c>
      <c r="M15" s="2">
        <f>Sheet1!$D$5</f>
        <v>3.6999999999999999E-4</v>
      </c>
      <c r="N15" s="2">
        <f t="shared" si="1"/>
        <v>46.187100000000001</v>
      </c>
      <c r="O15" s="2">
        <f>Sheet1!$D$2</f>
        <v>1.9000000000000001E-4</v>
      </c>
      <c r="P15" s="2">
        <f t="shared" si="2"/>
        <v>23.717700000000001</v>
      </c>
      <c r="Q15" s="2">
        <f>Sheet1!$D$3</f>
        <v>7.1999999999999998E-3</v>
      </c>
      <c r="R15" s="2">
        <f t="shared" si="3"/>
        <v>898.77600000000007</v>
      </c>
      <c r="S15" s="2">
        <f>Sheet1!$D$4</f>
        <v>4.3E-3</v>
      </c>
      <c r="T15" s="2">
        <f t="shared" si="4"/>
        <v>536.76900000000001</v>
      </c>
    </row>
    <row r="16" spans="1:20" x14ac:dyDescent="0.3">
      <c r="A16" s="2" t="s">
        <v>59</v>
      </c>
      <c r="B16" s="2" t="s">
        <v>60</v>
      </c>
      <c r="C16" s="2">
        <v>24.713999999999999</v>
      </c>
      <c r="D16" s="2">
        <v>86.958299999999994</v>
      </c>
      <c r="E16" s="2" t="s">
        <v>302</v>
      </c>
      <c r="F16" s="2" t="s">
        <v>303</v>
      </c>
      <c r="G16" s="2" t="s">
        <v>328</v>
      </c>
      <c r="H16" s="2" t="s">
        <v>32</v>
      </c>
      <c r="I16" s="2" t="s">
        <v>33</v>
      </c>
      <c r="J16" s="2" t="s">
        <v>61</v>
      </c>
      <c r="K16" s="2" cm="1">
        <f t="array" ref="K16">SUM(VALUE(_xlfn.TEXTSPLIT(J16, ",")))</f>
        <v>420</v>
      </c>
      <c r="L16" s="2">
        <f t="shared" si="5"/>
        <v>3679200000</v>
      </c>
      <c r="M16" s="2">
        <f>Sheet1!$D$5</f>
        <v>3.6999999999999999E-4</v>
      </c>
      <c r="N16" s="2">
        <f t="shared" ref="N16:N63" si="6">((L16*M16)/1000)*0.05</f>
        <v>68.065200000000004</v>
      </c>
      <c r="O16" s="2">
        <f>Sheet1!$D$2</f>
        <v>1.9000000000000001E-4</v>
      </c>
      <c r="P16" s="2">
        <f t="shared" si="2"/>
        <v>34.952400000000004</v>
      </c>
      <c r="Q16" s="2">
        <f>Sheet1!$D$3</f>
        <v>7.1999999999999998E-3</v>
      </c>
      <c r="R16" s="2">
        <f t="shared" si="3"/>
        <v>1324.5120000000002</v>
      </c>
      <c r="S16" s="2">
        <f>Sheet1!$D$4</f>
        <v>4.3E-3</v>
      </c>
      <c r="T16" s="2">
        <f t="shared" si="4"/>
        <v>791.02800000000002</v>
      </c>
    </row>
    <row r="17" spans="1:20" x14ac:dyDescent="0.3">
      <c r="A17" s="2" t="s">
        <v>62</v>
      </c>
      <c r="B17" s="2" t="s">
        <v>63</v>
      </c>
      <c r="C17" s="2">
        <v>25.3913756</v>
      </c>
      <c r="D17" s="2">
        <v>86.023488299999997</v>
      </c>
      <c r="E17" s="2" t="s">
        <v>302</v>
      </c>
      <c r="F17" s="2" t="s">
        <v>303</v>
      </c>
      <c r="G17" s="2" t="s">
        <v>328</v>
      </c>
      <c r="H17" s="2" t="s">
        <v>32</v>
      </c>
      <c r="I17" s="2" t="s">
        <v>17</v>
      </c>
      <c r="J17" s="2" t="s">
        <v>64</v>
      </c>
      <c r="K17" s="2" cm="1">
        <f t="array" ref="K17">SUM(VALUE(_xlfn.TEXTSPLIT(J17, ",")))</f>
        <v>630</v>
      </c>
      <c r="L17" s="2">
        <f t="shared" si="5"/>
        <v>5518800000</v>
      </c>
      <c r="M17" s="2">
        <f>Sheet1!$D$5</f>
        <v>3.6999999999999999E-4</v>
      </c>
      <c r="N17" s="2">
        <f t="shared" si="6"/>
        <v>102.09780000000001</v>
      </c>
      <c r="O17" s="2">
        <f>Sheet1!$D$2</f>
        <v>1.9000000000000001E-4</v>
      </c>
      <c r="P17" s="2">
        <f t="shared" si="2"/>
        <v>52.428599999999996</v>
      </c>
      <c r="Q17" s="2">
        <f>Sheet1!$D$3</f>
        <v>7.1999999999999998E-3</v>
      </c>
      <c r="R17" s="2">
        <f t="shared" si="3"/>
        <v>1986.768</v>
      </c>
      <c r="S17" s="2">
        <f>Sheet1!$D$4</f>
        <v>4.3E-3</v>
      </c>
      <c r="T17" s="2">
        <f t="shared" si="4"/>
        <v>1186.5420000000001</v>
      </c>
    </row>
    <row r="18" spans="1:20" x14ac:dyDescent="0.3">
      <c r="A18" s="2" t="s">
        <v>65</v>
      </c>
      <c r="B18" s="2" t="s">
        <v>66</v>
      </c>
      <c r="C18" s="2">
        <v>23.829220500000002</v>
      </c>
      <c r="D18" s="2">
        <v>87.451034000000007</v>
      </c>
      <c r="E18" s="2" t="s">
        <v>302</v>
      </c>
      <c r="F18" s="2" t="s">
        <v>303</v>
      </c>
      <c r="G18" s="2" t="s">
        <v>327</v>
      </c>
      <c r="H18" s="2" t="s">
        <v>32</v>
      </c>
      <c r="I18" s="2" t="s">
        <v>33</v>
      </c>
      <c r="J18" s="2" t="s">
        <v>61</v>
      </c>
      <c r="K18" s="2" cm="1">
        <f t="array" ref="K18">SUM(VALUE(_xlfn.TEXTSPLIT(J18, ",")))</f>
        <v>420</v>
      </c>
      <c r="L18" s="2">
        <f t="shared" si="5"/>
        <v>3679200000</v>
      </c>
      <c r="M18" s="2">
        <f>Sheet1!$D$5</f>
        <v>3.6999999999999999E-4</v>
      </c>
      <c r="N18" s="2">
        <f t="shared" si="6"/>
        <v>68.065200000000004</v>
      </c>
      <c r="O18" s="2">
        <f>Sheet1!$D$2</f>
        <v>1.9000000000000001E-4</v>
      </c>
      <c r="P18" s="2">
        <f t="shared" si="2"/>
        <v>34.952400000000004</v>
      </c>
      <c r="Q18" s="2">
        <f>Sheet1!$D$3</f>
        <v>7.1999999999999998E-3</v>
      </c>
      <c r="R18" s="2">
        <f t="shared" si="3"/>
        <v>1324.5120000000002</v>
      </c>
      <c r="S18" s="2">
        <f>Sheet1!$D$4</f>
        <v>4.3E-3</v>
      </c>
      <c r="T18" s="2">
        <f t="shared" si="4"/>
        <v>791.02800000000002</v>
      </c>
    </row>
    <row r="19" spans="1:20" x14ac:dyDescent="0.3">
      <c r="A19" s="2" t="s">
        <v>67</v>
      </c>
      <c r="B19" s="2" t="s">
        <v>68</v>
      </c>
      <c r="C19" s="2">
        <v>22.995750000000001</v>
      </c>
      <c r="D19" s="2">
        <v>88.403819999999996</v>
      </c>
      <c r="E19" s="2" t="s">
        <v>302</v>
      </c>
      <c r="F19" s="2" t="s">
        <v>303</v>
      </c>
      <c r="G19" s="2" t="s">
        <v>327</v>
      </c>
      <c r="H19" s="2" t="s">
        <v>32</v>
      </c>
      <c r="I19" s="2" t="s">
        <v>42</v>
      </c>
      <c r="J19" s="2" t="s">
        <v>69</v>
      </c>
      <c r="K19" s="2" cm="1">
        <f t="array" ref="K19">SUM(VALUE(_xlfn.TEXTSPLIT(J19, ",")))</f>
        <v>450</v>
      </c>
      <c r="L19" s="2">
        <f t="shared" si="5"/>
        <v>3942000000</v>
      </c>
      <c r="M19" s="2">
        <f>Sheet1!$D$5</f>
        <v>3.6999999999999999E-4</v>
      </c>
      <c r="N19" s="2">
        <f t="shared" si="6"/>
        <v>72.927000000000007</v>
      </c>
      <c r="O19" s="2">
        <f>Sheet1!$D$2</f>
        <v>1.9000000000000001E-4</v>
      </c>
      <c r="P19" s="2">
        <f t="shared" si="2"/>
        <v>37.449000000000005</v>
      </c>
      <c r="Q19" s="2">
        <f>Sheet1!$D$3</f>
        <v>7.1999999999999998E-3</v>
      </c>
      <c r="R19" s="2">
        <f t="shared" si="3"/>
        <v>1419.1200000000001</v>
      </c>
      <c r="S19" s="2">
        <f>Sheet1!$D$4</f>
        <v>4.3E-3</v>
      </c>
      <c r="T19" s="2">
        <f t="shared" si="4"/>
        <v>847.53</v>
      </c>
    </row>
    <row r="20" spans="1:20" x14ac:dyDescent="0.3">
      <c r="A20" s="2" t="s">
        <v>70</v>
      </c>
      <c r="B20" s="2" t="s">
        <v>72</v>
      </c>
      <c r="C20" s="2">
        <v>25.196349999999999</v>
      </c>
      <c r="D20" s="2">
        <v>81.658529999999999</v>
      </c>
      <c r="E20" s="2" t="s">
        <v>302</v>
      </c>
      <c r="F20" s="2" t="s">
        <v>303</v>
      </c>
      <c r="G20" s="2" t="s">
        <v>326</v>
      </c>
      <c r="H20" s="2" t="s">
        <v>32</v>
      </c>
      <c r="I20" s="2" t="s">
        <v>17</v>
      </c>
      <c r="J20" s="2" t="s">
        <v>73</v>
      </c>
      <c r="K20" s="2" cm="1">
        <f t="array" ref="K20">SUM(VALUE(_xlfn.TEXTSPLIT(J20, ",")))</f>
        <v>1980</v>
      </c>
      <c r="L20" s="2">
        <f t="shared" si="5"/>
        <v>17344800000</v>
      </c>
      <c r="M20" s="2">
        <f>Sheet1!$D$5</f>
        <v>3.6999999999999999E-4</v>
      </c>
      <c r="N20" s="2">
        <f t="shared" si="6"/>
        <v>320.87880000000001</v>
      </c>
      <c r="O20" s="2">
        <f>Sheet1!$D$2</f>
        <v>1.9000000000000001E-4</v>
      </c>
      <c r="P20" s="2">
        <f t="shared" si="2"/>
        <v>164.77560000000003</v>
      </c>
      <c r="Q20" s="2">
        <f>Sheet1!$D$3</f>
        <v>7.1999999999999998E-3</v>
      </c>
      <c r="R20" s="2">
        <f t="shared" si="3"/>
        <v>6244.1280000000006</v>
      </c>
      <c r="S20" s="2">
        <f>Sheet1!$D$4</f>
        <v>4.3E-3</v>
      </c>
      <c r="T20" s="2">
        <f t="shared" si="4"/>
        <v>3729.1320000000001</v>
      </c>
    </row>
    <row r="21" spans="1:20" x14ac:dyDescent="0.3">
      <c r="A21" s="2" t="s">
        <v>71</v>
      </c>
      <c r="B21" s="2" t="s">
        <v>75</v>
      </c>
      <c r="C21" s="2">
        <v>25.391380000000002</v>
      </c>
      <c r="D21" s="2">
        <v>86.023489999999995</v>
      </c>
      <c r="E21" s="2" t="s">
        <v>302</v>
      </c>
      <c r="F21" s="2" t="s">
        <v>303</v>
      </c>
      <c r="G21" s="2" t="s">
        <v>328</v>
      </c>
      <c r="H21" s="2" t="s">
        <v>32</v>
      </c>
      <c r="I21" s="2" t="s">
        <v>76</v>
      </c>
      <c r="J21" s="2" t="s">
        <v>77</v>
      </c>
      <c r="K21" s="2" cm="1">
        <f t="array" ref="K21">SUM(VALUE(_xlfn.TEXTSPLIT(J21, ",")))</f>
        <v>720</v>
      </c>
      <c r="L21" s="2">
        <f t="shared" si="5"/>
        <v>6307200000</v>
      </c>
      <c r="M21" s="2">
        <f>Sheet1!$D$5</f>
        <v>3.6999999999999999E-4</v>
      </c>
      <c r="N21" s="2">
        <f t="shared" si="6"/>
        <v>116.68320000000001</v>
      </c>
      <c r="O21" s="2">
        <f>Sheet1!$D$2</f>
        <v>1.9000000000000001E-4</v>
      </c>
      <c r="P21" s="2">
        <f t="shared" si="2"/>
        <v>59.918399999999998</v>
      </c>
      <c r="Q21" s="2">
        <f>Sheet1!$D$3</f>
        <v>7.1999999999999998E-3</v>
      </c>
      <c r="R21" s="2">
        <f t="shared" si="3"/>
        <v>2270.5920000000001</v>
      </c>
      <c r="S21" s="2">
        <f>Sheet1!$D$4</f>
        <v>4.3E-3</v>
      </c>
      <c r="T21" s="2">
        <f t="shared" si="4"/>
        <v>1356.048</v>
      </c>
    </row>
    <row r="22" spans="1:20" x14ac:dyDescent="0.3">
      <c r="A22" s="2" t="s">
        <v>74</v>
      </c>
      <c r="B22" s="2" t="s">
        <v>79</v>
      </c>
      <c r="C22" s="2">
        <v>25.4693</v>
      </c>
      <c r="D22" s="2">
        <v>85.745159999999998</v>
      </c>
      <c r="E22" s="2" t="s">
        <v>302</v>
      </c>
      <c r="F22" s="2" t="s">
        <v>303</v>
      </c>
      <c r="G22" s="2" t="s">
        <v>328</v>
      </c>
      <c r="H22" s="2" t="s">
        <v>32</v>
      </c>
      <c r="I22" s="2" t="s">
        <v>80</v>
      </c>
      <c r="J22" s="2" t="s">
        <v>73</v>
      </c>
      <c r="K22" s="2" cm="1">
        <f t="array" ref="K22">SUM(VALUE(_xlfn.TEXTSPLIT(J22, ",")))</f>
        <v>1980</v>
      </c>
      <c r="L22" s="2">
        <f t="shared" si="5"/>
        <v>17344800000</v>
      </c>
      <c r="M22" s="2">
        <f>Sheet1!$D$5</f>
        <v>3.6999999999999999E-4</v>
      </c>
      <c r="N22" s="2">
        <f t="shared" si="6"/>
        <v>320.87880000000001</v>
      </c>
      <c r="O22" s="2">
        <f>Sheet1!$D$2</f>
        <v>1.9000000000000001E-4</v>
      </c>
      <c r="P22" s="2">
        <f t="shared" si="2"/>
        <v>164.77560000000003</v>
      </c>
      <c r="Q22" s="2">
        <f>Sheet1!$D$3</f>
        <v>7.1999999999999998E-3</v>
      </c>
      <c r="R22" s="2">
        <f t="shared" si="3"/>
        <v>6244.1280000000006</v>
      </c>
      <c r="S22" s="2">
        <f>Sheet1!$D$4</f>
        <v>4.3E-3</v>
      </c>
      <c r="T22" s="2">
        <f t="shared" si="4"/>
        <v>3729.1320000000001</v>
      </c>
    </row>
    <row r="23" spans="1:20" x14ac:dyDescent="0.3">
      <c r="A23" s="2" t="s">
        <v>78</v>
      </c>
      <c r="B23" s="2" t="s">
        <v>82</v>
      </c>
      <c r="C23" s="2">
        <v>25.486499999999999</v>
      </c>
      <c r="D23" s="2">
        <v>85.745159999999998</v>
      </c>
      <c r="E23" s="2" t="s">
        <v>302</v>
      </c>
      <c r="F23" s="2" t="s">
        <v>303</v>
      </c>
      <c r="G23" s="2" t="s">
        <v>328</v>
      </c>
      <c r="H23" s="2" t="s">
        <v>32</v>
      </c>
      <c r="I23" s="2" t="s">
        <v>33</v>
      </c>
      <c r="J23" s="2" t="s">
        <v>22</v>
      </c>
      <c r="K23" s="2" cm="1">
        <f t="array" ref="K23">SUM(VALUE(_xlfn.TEXTSPLIT(J23, ",")))</f>
        <v>1320</v>
      </c>
      <c r="L23" s="2">
        <f t="shared" si="5"/>
        <v>11563200000</v>
      </c>
      <c r="M23" s="2">
        <f>Sheet1!$D$5</f>
        <v>3.6999999999999999E-4</v>
      </c>
      <c r="N23" s="2">
        <f t="shared" si="6"/>
        <v>213.91920000000002</v>
      </c>
      <c r="O23" s="2">
        <f>Sheet1!$D$2</f>
        <v>1.9000000000000001E-4</v>
      </c>
      <c r="P23" s="2">
        <f t="shared" si="2"/>
        <v>109.85039999999999</v>
      </c>
      <c r="Q23" s="2">
        <f>Sheet1!$D$3</f>
        <v>7.1999999999999998E-3</v>
      </c>
      <c r="R23" s="2">
        <f t="shared" si="3"/>
        <v>4162.7519999999995</v>
      </c>
      <c r="S23" s="2">
        <f>Sheet1!$D$4</f>
        <v>4.3E-3</v>
      </c>
      <c r="T23" s="2">
        <f t="shared" si="4"/>
        <v>2486.0880000000002</v>
      </c>
    </row>
    <row r="24" spans="1:20" x14ac:dyDescent="0.3">
      <c r="A24" s="2" t="s">
        <v>81</v>
      </c>
      <c r="B24" s="2" t="s">
        <v>84</v>
      </c>
      <c r="C24" s="2">
        <v>28.472200000000001</v>
      </c>
      <c r="D24" s="2">
        <v>79.806724630000005</v>
      </c>
      <c r="E24" s="2" t="s">
        <v>302</v>
      </c>
      <c r="F24" s="2" t="s">
        <v>303</v>
      </c>
      <c r="G24" s="2" t="s">
        <v>326</v>
      </c>
      <c r="H24" s="2" t="s">
        <v>32</v>
      </c>
      <c r="I24" s="2" t="s">
        <v>33</v>
      </c>
      <c r="J24" s="2" t="s">
        <v>85</v>
      </c>
      <c r="K24" s="2" cm="1">
        <f t="array" ref="K24">SUM(VALUE(_xlfn.TEXTSPLIT(J24, ",")))</f>
        <v>90</v>
      </c>
      <c r="L24" s="2">
        <f t="shared" si="5"/>
        <v>788400000</v>
      </c>
      <c r="M24" s="2">
        <f>Sheet1!$D$5</f>
        <v>3.6999999999999999E-4</v>
      </c>
      <c r="N24" s="2">
        <f t="shared" si="6"/>
        <v>14.585400000000002</v>
      </c>
      <c r="O24" s="2">
        <f>Sheet1!$D$2</f>
        <v>1.9000000000000001E-4</v>
      </c>
      <c r="P24" s="2">
        <f t="shared" si="2"/>
        <v>7.4897999999999998</v>
      </c>
      <c r="Q24" s="2">
        <f>Sheet1!$D$3</f>
        <v>7.1999999999999998E-3</v>
      </c>
      <c r="R24" s="2">
        <f t="shared" si="3"/>
        <v>283.82400000000001</v>
      </c>
      <c r="S24" s="2">
        <f>Sheet1!$D$4</f>
        <v>4.3E-3</v>
      </c>
      <c r="T24" s="2">
        <f t="shared" si="4"/>
        <v>169.506</v>
      </c>
    </row>
    <row r="25" spans="1:20" x14ac:dyDescent="0.3">
      <c r="A25" s="2" t="s">
        <v>83</v>
      </c>
      <c r="B25" s="2" t="s">
        <v>87</v>
      </c>
      <c r="C25" s="2">
        <v>26.763390000000001</v>
      </c>
      <c r="D25" s="2">
        <v>80.058059999999998</v>
      </c>
      <c r="E25" s="2" t="s">
        <v>302</v>
      </c>
      <c r="F25" s="2" t="s">
        <v>303</v>
      </c>
      <c r="G25" s="2" t="s">
        <v>326</v>
      </c>
      <c r="H25" s="2" t="s">
        <v>32</v>
      </c>
      <c r="I25" s="2" t="s">
        <v>88</v>
      </c>
      <c r="J25" s="2" t="s">
        <v>22</v>
      </c>
      <c r="K25" s="2" cm="1">
        <f t="array" ref="K25">SUM(VALUE(_xlfn.TEXTSPLIT(J25, ",")))</f>
        <v>1320</v>
      </c>
      <c r="L25" s="2">
        <f t="shared" si="5"/>
        <v>11563200000</v>
      </c>
      <c r="M25" s="2">
        <f>Sheet1!$D$5</f>
        <v>3.6999999999999999E-4</v>
      </c>
      <c r="N25" s="2">
        <f t="shared" si="6"/>
        <v>213.91920000000002</v>
      </c>
      <c r="O25" s="2">
        <f>Sheet1!$D$2</f>
        <v>1.9000000000000001E-4</v>
      </c>
      <c r="P25" s="2">
        <f t="shared" si="2"/>
        <v>109.85039999999999</v>
      </c>
      <c r="Q25" s="2">
        <f>Sheet1!$D$3</f>
        <v>7.1999999999999998E-3</v>
      </c>
      <c r="R25" s="2">
        <f t="shared" si="3"/>
        <v>4162.7519999999995</v>
      </c>
      <c r="S25" s="2">
        <f>Sheet1!$D$4</f>
        <v>4.3E-3</v>
      </c>
      <c r="T25" s="2">
        <f t="shared" si="4"/>
        <v>2486.0880000000002</v>
      </c>
    </row>
    <row r="26" spans="1:20" x14ac:dyDescent="0.3">
      <c r="A26" s="2" t="s">
        <v>86</v>
      </c>
      <c r="B26" s="2" t="s">
        <v>90</v>
      </c>
      <c r="C26" s="2">
        <v>22.47034</v>
      </c>
      <c r="D26" s="2">
        <v>88.139949999999999</v>
      </c>
      <c r="E26" s="2" t="s">
        <v>302</v>
      </c>
      <c r="F26" s="2" t="s">
        <v>303</v>
      </c>
      <c r="G26" s="2" t="s">
        <v>327</v>
      </c>
      <c r="H26" s="2" t="s">
        <v>32</v>
      </c>
      <c r="I26" s="2" t="s">
        <v>17</v>
      </c>
      <c r="J26" s="2" t="s">
        <v>91</v>
      </c>
      <c r="K26" s="2" cm="1">
        <f t="array" ref="K26">SUM(VALUE(_xlfn.TEXTSPLIT(J26, ",")))</f>
        <v>750</v>
      </c>
      <c r="L26" s="2">
        <f t="shared" si="5"/>
        <v>6570000000</v>
      </c>
      <c r="M26" s="2">
        <f>Sheet1!$D$5</f>
        <v>3.6999999999999999E-4</v>
      </c>
      <c r="N26" s="2">
        <f t="shared" si="6"/>
        <v>121.54500000000002</v>
      </c>
      <c r="O26" s="2">
        <f>Sheet1!$D$2</f>
        <v>1.9000000000000001E-4</v>
      </c>
      <c r="P26" s="2">
        <f t="shared" si="2"/>
        <v>62.414999999999999</v>
      </c>
      <c r="Q26" s="2">
        <f>Sheet1!$D$3</f>
        <v>7.1999999999999998E-3</v>
      </c>
      <c r="R26" s="2">
        <f t="shared" si="3"/>
        <v>2365.2000000000003</v>
      </c>
      <c r="S26" s="2">
        <f>Sheet1!$D$4</f>
        <v>4.3E-3</v>
      </c>
      <c r="T26" s="2">
        <f t="shared" si="4"/>
        <v>1412.5500000000002</v>
      </c>
    </row>
    <row r="27" spans="1:20" x14ac:dyDescent="0.3">
      <c r="A27" s="2" t="s">
        <v>89</v>
      </c>
      <c r="B27" s="2" t="s">
        <v>93</v>
      </c>
      <c r="C27" s="2">
        <v>25.391380000000002</v>
      </c>
      <c r="D27" s="2">
        <v>86.023489999999995</v>
      </c>
      <c r="E27" s="2" t="s">
        <v>302</v>
      </c>
      <c r="F27" s="2" t="s">
        <v>303</v>
      </c>
      <c r="G27" s="2" t="s">
        <v>328</v>
      </c>
      <c r="H27" s="2" t="s">
        <v>32</v>
      </c>
      <c r="I27" s="2" t="s">
        <v>55</v>
      </c>
      <c r="J27" s="2">
        <v>250</v>
      </c>
      <c r="K27" s="2" cm="1">
        <f t="array" ref="K27">SUM(VALUE(_xlfn.TEXTSPLIT(J27, ",")))</f>
        <v>250</v>
      </c>
      <c r="L27" s="2">
        <f t="shared" si="5"/>
        <v>2190000000</v>
      </c>
      <c r="M27" s="2">
        <f>Sheet1!$D$5</f>
        <v>3.6999999999999999E-4</v>
      </c>
      <c r="N27" s="2">
        <f t="shared" si="6"/>
        <v>40.515000000000001</v>
      </c>
      <c r="O27" s="2">
        <f>Sheet1!$D$2</f>
        <v>1.9000000000000001E-4</v>
      </c>
      <c r="P27" s="2">
        <f t="shared" si="2"/>
        <v>20.805000000000003</v>
      </c>
      <c r="Q27" s="2">
        <f>Sheet1!$D$3</f>
        <v>7.1999999999999998E-3</v>
      </c>
      <c r="R27" s="2">
        <f t="shared" si="3"/>
        <v>788.40000000000009</v>
      </c>
      <c r="S27" s="2">
        <f>Sheet1!$D$4</f>
        <v>4.3E-3</v>
      </c>
      <c r="T27" s="2">
        <f t="shared" si="4"/>
        <v>470.85</v>
      </c>
    </row>
    <row r="28" spans="1:20" x14ac:dyDescent="0.3">
      <c r="A28" s="2" t="s">
        <v>92</v>
      </c>
      <c r="B28" s="2" t="s">
        <v>95</v>
      </c>
      <c r="C28" s="2">
        <v>25.462350000000001</v>
      </c>
      <c r="D28" s="2">
        <v>83.882570000000001</v>
      </c>
      <c r="E28" s="2" t="s">
        <v>302</v>
      </c>
      <c r="F28" s="2" t="s">
        <v>303</v>
      </c>
      <c r="G28" s="2" t="s">
        <v>328</v>
      </c>
      <c r="H28" s="2" t="s">
        <v>32</v>
      </c>
      <c r="I28" s="2" t="s">
        <v>21</v>
      </c>
      <c r="J28" s="2" t="s">
        <v>22</v>
      </c>
      <c r="K28" s="2" cm="1">
        <f t="array" ref="K28">SUM(VALUE(_xlfn.TEXTSPLIT(J28, ",")))</f>
        <v>1320</v>
      </c>
      <c r="L28" s="2">
        <f t="shared" si="5"/>
        <v>11563200000</v>
      </c>
      <c r="M28" s="2">
        <f>Sheet1!$D$5</f>
        <v>3.6999999999999999E-4</v>
      </c>
      <c r="N28" s="2">
        <f t="shared" si="6"/>
        <v>213.91920000000002</v>
      </c>
      <c r="O28" s="2">
        <f>Sheet1!$D$2</f>
        <v>1.9000000000000001E-4</v>
      </c>
      <c r="P28" s="2">
        <f t="shared" si="2"/>
        <v>109.85039999999999</v>
      </c>
      <c r="Q28" s="2">
        <f>Sheet1!$D$3</f>
        <v>7.1999999999999998E-3</v>
      </c>
      <c r="R28" s="2">
        <f t="shared" si="3"/>
        <v>4162.7519999999995</v>
      </c>
      <c r="S28" s="2">
        <f>Sheet1!$D$4</f>
        <v>4.3E-3</v>
      </c>
      <c r="T28" s="2">
        <f t="shared" si="4"/>
        <v>2486.0880000000002</v>
      </c>
    </row>
    <row r="29" spans="1:20" x14ac:dyDescent="0.3">
      <c r="A29" s="2" t="s">
        <v>94</v>
      </c>
      <c r="B29" s="2" t="s">
        <v>97</v>
      </c>
      <c r="C29" s="2">
        <v>25.090890000000002</v>
      </c>
      <c r="D29" s="2">
        <v>82.89734</v>
      </c>
      <c r="E29" s="2" t="s">
        <v>325</v>
      </c>
      <c r="F29" s="2" t="s">
        <v>303</v>
      </c>
      <c r="G29" s="2" t="s">
        <v>326</v>
      </c>
      <c r="H29" s="2" t="s">
        <v>32</v>
      </c>
      <c r="I29" s="2" t="s">
        <v>55</v>
      </c>
      <c r="J29" s="2">
        <v>38</v>
      </c>
      <c r="K29" s="2" cm="1">
        <f t="array" ref="K29">SUM(VALUE(_xlfn.TEXTSPLIT(J29, ",")))</f>
        <v>38</v>
      </c>
      <c r="L29" s="2">
        <f t="shared" si="5"/>
        <v>332880000</v>
      </c>
      <c r="M29" s="2">
        <f>Sheet1!$D$5</f>
        <v>3.6999999999999999E-4</v>
      </c>
      <c r="N29" s="2">
        <f t="shared" si="6"/>
        <v>6.1582800000000004</v>
      </c>
      <c r="O29" s="2">
        <f>Sheet1!$D$2</f>
        <v>1.9000000000000001E-4</v>
      </c>
      <c r="P29" s="2">
        <f t="shared" si="2"/>
        <v>3.1623600000000005</v>
      </c>
      <c r="Q29" s="2">
        <f>Sheet1!$D$3</f>
        <v>7.1999999999999998E-3</v>
      </c>
      <c r="R29" s="2">
        <f t="shared" si="3"/>
        <v>119.8368</v>
      </c>
      <c r="S29" s="2">
        <f>Sheet1!$D$4</f>
        <v>4.3E-3</v>
      </c>
      <c r="T29" s="2">
        <f t="shared" si="4"/>
        <v>71.569200000000009</v>
      </c>
    </row>
    <row r="30" spans="1:20" x14ac:dyDescent="0.3">
      <c r="A30" s="2" t="s">
        <v>96</v>
      </c>
      <c r="B30" s="2" t="s">
        <v>99</v>
      </c>
      <c r="C30" s="2">
        <v>24.639099999999999</v>
      </c>
      <c r="D30" s="2">
        <v>83.101089999999999</v>
      </c>
      <c r="E30" s="2" t="s">
        <v>325</v>
      </c>
      <c r="F30" s="2" t="s">
        <v>303</v>
      </c>
      <c r="G30" s="2" t="s">
        <v>326</v>
      </c>
      <c r="H30" s="2" t="s">
        <v>32</v>
      </c>
      <c r="I30" s="2" t="s">
        <v>76</v>
      </c>
      <c r="J30" s="2" t="s">
        <v>100</v>
      </c>
      <c r="K30" s="2" cm="1">
        <f t="array" ref="K30">SUM(VALUE(_xlfn.TEXTSPLIT(J30, ",")))</f>
        <v>240</v>
      </c>
      <c r="L30" s="2">
        <f t="shared" si="5"/>
        <v>2102400000</v>
      </c>
      <c r="M30" s="2">
        <f>Sheet1!$D$5</f>
        <v>3.6999999999999999E-4</v>
      </c>
      <c r="N30" s="2">
        <f t="shared" si="6"/>
        <v>38.894400000000005</v>
      </c>
      <c r="O30" s="2">
        <f>Sheet1!$D$2</f>
        <v>1.9000000000000001E-4</v>
      </c>
      <c r="P30" s="2">
        <f t="shared" si="2"/>
        <v>19.972800000000003</v>
      </c>
      <c r="Q30" s="2">
        <f>Sheet1!$D$3</f>
        <v>7.1999999999999998E-3</v>
      </c>
      <c r="R30" s="2">
        <f t="shared" si="3"/>
        <v>756.86400000000003</v>
      </c>
      <c r="S30" s="2">
        <f>Sheet1!$D$4</f>
        <v>4.3E-3</v>
      </c>
      <c r="T30" s="2">
        <f t="shared" si="4"/>
        <v>452.01600000000002</v>
      </c>
    </row>
    <row r="31" spans="1:20" x14ac:dyDescent="0.3">
      <c r="A31" s="2" t="s">
        <v>98</v>
      </c>
      <c r="B31" s="2" t="s">
        <v>102</v>
      </c>
      <c r="C31" s="2">
        <v>30.105409999999999</v>
      </c>
      <c r="D31" s="2">
        <v>77.326970000000003</v>
      </c>
      <c r="E31" s="2" t="s">
        <v>302</v>
      </c>
      <c r="F31" s="2" t="s">
        <v>303</v>
      </c>
      <c r="G31" s="2" t="s">
        <v>329</v>
      </c>
      <c r="H31" s="2" t="s">
        <v>32</v>
      </c>
      <c r="I31" s="2" t="s">
        <v>33</v>
      </c>
      <c r="J31" s="2" t="s">
        <v>103</v>
      </c>
      <c r="K31" s="2" cm="1">
        <f t="array" ref="K31">SUM(VALUE(_xlfn.TEXTSPLIT(J31, ",")))</f>
        <v>600</v>
      </c>
      <c r="L31" s="2">
        <f t="shared" si="5"/>
        <v>5256000000</v>
      </c>
      <c r="M31" s="2">
        <f>Sheet1!$D$5</f>
        <v>3.6999999999999999E-4</v>
      </c>
      <c r="N31" s="2">
        <f t="shared" si="6"/>
        <v>97.236000000000004</v>
      </c>
      <c r="O31" s="2">
        <f>Sheet1!$D$2</f>
        <v>1.9000000000000001E-4</v>
      </c>
      <c r="P31" s="2">
        <f t="shared" si="2"/>
        <v>49.932000000000002</v>
      </c>
      <c r="Q31" s="2">
        <f>Sheet1!$D$3</f>
        <v>7.1999999999999998E-3</v>
      </c>
      <c r="R31" s="2">
        <f t="shared" si="3"/>
        <v>1892.1599999999999</v>
      </c>
      <c r="S31" s="2">
        <f>Sheet1!$D$4</f>
        <v>4.3E-3</v>
      </c>
      <c r="T31" s="2">
        <f t="shared" si="4"/>
        <v>1130.04</v>
      </c>
    </row>
    <row r="32" spans="1:20" x14ac:dyDescent="0.3">
      <c r="A32" s="2" t="s">
        <v>101</v>
      </c>
      <c r="B32" s="2" t="s">
        <v>106</v>
      </c>
      <c r="C32" s="2">
        <v>23.55181</v>
      </c>
      <c r="D32" s="2">
        <v>87.248480000000001</v>
      </c>
      <c r="E32" s="2" t="s">
        <v>325</v>
      </c>
      <c r="F32" s="2" t="s">
        <v>303</v>
      </c>
      <c r="G32" s="2" t="s">
        <v>327</v>
      </c>
      <c r="H32" s="2" t="s">
        <v>32</v>
      </c>
      <c r="I32" s="2" t="s">
        <v>33</v>
      </c>
      <c r="J32" s="2" t="s">
        <v>107</v>
      </c>
      <c r="K32" s="2" cm="1">
        <f t="array" ref="K32">SUM(VALUE(_xlfn.TEXTSPLIT(J32, ",")))</f>
        <v>120</v>
      </c>
      <c r="L32" s="2">
        <f t="shared" si="5"/>
        <v>1051200000</v>
      </c>
      <c r="M32" s="2">
        <f>Sheet1!$D$5</f>
        <v>3.6999999999999999E-4</v>
      </c>
      <c r="N32" s="2">
        <f t="shared" si="6"/>
        <v>19.447200000000002</v>
      </c>
      <c r="O32" s="2">
        <f>Sheet1!$D$2</f>
        <v>1.9000000000000001E-4</v>
      </c>
      <c r="P32" s="2">
        <f t="shared" si="2"/>
        <v>9.9864000000000015</v>
      </c>
      <c r="Q32" s="2">
        <f>Sheet1!$D$3</f>
        <v>7.1999999999999998E-3</v>
      </c>
      <c r="R32" s="2">
        <f t="shared" si="3"/>
        <v>378.43200000000002</v>
      </c>
      <c r="S32" s="2">
        <f>Sheet1!$D$4</f>
        <v>4.3E-3</v>
      </c>
      <c r="T32" s="2">
        <f t="shared" si="4"/>
        <v>226.00800000000001</v>
      </c>
    </row>
    <row r="33" spans="1:20" x14ac:dyDescent="0.3">
      <c r="A33" s="2" t="s">
        <v>104</v>
      </c>
      <c r="B33" s="2" t="s">
        <v>109</v>
      </c>
      <c r="C33" s="2">
        <v>23.58</v>
      </c>
      <c r="D33" s="2">
        <v>87.204300000000003</v>
      </c>
      <c r="E33" s="2" t="s">
        <v>325</v>
      </c>
      <c r="F33" s="2" t="s">
        <v>303</v>
      </c>
      <c r="G33" s="2" t="s">
        <v>327</v>
      </c>
      <c r="H33" s="2" t="s">
        <v>32</v>
      </c>
      <c r="I33" s="2" t="s">
        <v>33</v>
      </c>
      <c r="J33" s="2" t="s">
        <v>49</v>
      </c>
      <c r="K33" s="2" cm="1">
        <f t="array" ref="K33">SUM(VALUE(_xlfn.TEXTSPLIT(J33, ",")))</f>
        <v>1000</v>
      </c>
      <c r="L33" s="2">
        <f t="shared" si="5"/>
        <v>8760000000</v>
      </c>
      <c r="M33" s="2">
        <f>Sheet1!$D$5</f>
        <v>3.6999999999999999E-4</v>
      </c>
      <c r="N33" s="2">
        <f t="shared" si="6"/>
        <v>162.06</v>
      </c>
      <c r="O33" s="2">
        <f>Sheet1!$D$2</f>
        <v>1.9000000000000001E-4</v>
      </c>
      <c r="P33" s="2">
        <f t="shared" si="2"/>
        <v>83.220000000000013</v>
      </c>
      <c r="Q33" s="2">
        <f>Sheet1!$D$3</f>
        <v>7.1999999999999998E-3</v>
      </c>
      <c r="R33" s="2">
        <f t="shared" si="3"/>
        <v>3153.6000000000004</v>
      </c>
      <c r="S33" s="2">
        <f>Sheet1!$D$4</f>
        <v>4.3E-3</v>
      </c>
      <c r="T33" s="2">
        <f t="shared" si="4"/>
        <v>1883.4</v>
      </c>
    </row>
    <row r="34" spans="1:20" x14ac:dyDescent="0.3">
      <c r="A34" s="2" t="s">
        <v>105</v>
      </c>
      <c r="B34" s="2" t="s">
        <v>111</v>
      </c>
      <c r="C34" s="2">
        <v>24.772729999999999</v>
      </c>
      <c r="D34" s="2">
        <v>87.893709999999999</v>
      </c>
      <c r="E34" s="2" t="s">
        <v>302</v>
      </c>
      <c r="F34" s="2" t="s">
        <v>303</v>
      </c>
      <c r="G34" s="2" t="s">
        <v>327</v>
      </c>
      <c r="H34" s="2" t="s">
        <v>32</v>
      </c>
      <c r="I34" s="2" t="s">
        <v>112</v>
      </c>
      <c r="J34" s="2" t="s">
        <v>113</v>
      </c>
      <c r="K34" s="2" cm="1">
        <f t="array" ref="K34">SUM(VALUE(_xlfn.TEXTSPLIT(J34, ",")))</f>
        <v>2100</v>
      </c>
      <c r="L34" s="2">
        <f t="shared" si="5"/>
        <v>18396000000</v>
      </c>
      <c r="M34" s="2">
        <f>Sheet1!$D$5</f>
        <v>3.6999999999999999E-4</v>
      </c>
      <c r="N34" s="2">
        <f t="shared" si="6"/>
        <v>340.32600000000002</v>
      </c>
      <c r="O34" s="2">
        <f>Sheet1!$D$2</f>
        <v>1.9000000000000001E-4</v>
      </c>
      <c r="P34" s="2">
        <f t="shared" si="2"/>
        <v>174.762</v>
      </c>
      <c r="Q34" s="2">
        <f>Sheet1!$D$3</f>
        <v>7.1999999999999998E-3</v>
      </c>
      <c r="R34" s="2">
        <f t="shared" si="3"/>
        <v>6622.5600000000013</v>
      </c>
      <c r="S34" s="2">
        <f>Sheet1!$D$4</f>
        <v>4.3E-3</v>
      </c>
      <c r="T34" s="2">
        <f t="shared" si="4"/>
        <v>3955.1400000000003</v>
      </c>
    </row>
    <row r="35" spans="1:20" x14ac:dyDescent="0.3">
      <c r="A35" s="2" t="s">
        <v>108</v>
      </c>
      <c r="B35" s="2" t="s">
        <v>115</v>
      </c>
      <c r="C35" s="2">
        <v>25.91376</v>
      </c>
      <c r="D35" s="2">
        <v>81.327240000000003</v>
      </c>
      <c r="E35" s="2" t="s">
        <v>302</v>
      </c>
      <c r="F35" s="2" t="s">
        <v>303</v>
      </c>
      <c r="G35" s="2" t="s">
        <v>326</v>
      </c>
      <c r="H35" s="2" t="s">
        <v>32</v>
      </c>
      <c r="I35" s="2" t="s">
        <v>112</v>
      </c>
      <c r="J35" s="2" t="s">
        <v>116</v>
      </c>
      <c r="K35" s="2" cm="1">
        <f t="array" ref="K35">SUM(VALUE(_xlfn.TEXTSPLIT(J35, ",")))</f>
        <v>1550</v>
      </c>
      <c r="L35" s="2">
        <f t="shared" si="5"/>
        <v>13578000000</v>
      </c>
      <c r="M35" s="2">
        <f>Sheet1!$D$5</f>
        <v>3.6999999999999999E-4</v>
      </c>
      <c r="N35" s="2">
        <f t="shared" si="6"/>
        <v>251.19299999999998</v>
      </c>
      <c r="O35" s="2">
        <f>Sheet1!$D$2</f>
        <v>1.9000000000000001E-4</v>
      </c>
      <c r="P35" s="2">
        <f t="shared" si="2"/>
        <v>128.99100000000001</v>
      </c>
      <c r="Q35" s="2">
        <f>Sheet1!$D$3</f>
        <v>7.1999999999999998E-3</v>
      </c>
      <c r="R35" s="2">
        <f t="shared" si="3"/>
        <v>4888.0800000000008</v>
      </c>
      <c r="S35" s="2">
        <f>Sheet1!$D$4</f>
        <v>4.3E-3</v>
      </c>
      <c r="T35" s="2">
        <f t="shared" si="4"/>
        <v>2919.2700000000004</v>
      </c>
    </row>
    <row r="36" spans="1:20" x14ac:dyDescent="0.3">
      <c r="A36" s="2" t="s">
        <v>110</v>
      </c>
      <c r="B36" s="2" t="s">
        <v>118</v>
      </c>
      <c r="C36" s="2">
        <v>25.975000000000001</v>
      </c>
      <c r="D36" s="2">
        <v>80.188900000000004</v>
      </c>
      <c r="E36" s="2" t="s">
        <v>302</v>
      </c>
      <c r="F36" s="2" t="s">
        <v>303</v>
      </c>
      <c r="G36" s="2" t="s">
        <v>326</v>
      </c>
      <c r="H36" s="2" t="s">
        <v>32</v>
      </c>
      <c r="I36" s="2" t="s">
        <v>119</v>
      </c>
      <c r="J36" s="2" t="s">
        <v>73</v>
      </c>
      <c r="K36" s="2" cm="1">
        <f t="array" ref="K36">SUM(VALUE(_xlfn.TEXTSPLIT(J36, ",")))</f>
        <v>1980</v>
      </c>
      <c r="L36" s="2">
        <f t="shared" si="5"/>
        <v>17344800000</v>
      </c>
      <c r="M36" s="2">
        <f>Sheet1!$D$5</f>
        <v>3.6999999999999999E-4</v>
      </c>
      <c r="N36" s="2">
        <f t="shared" si="6"/>
        <v>320.87880000000001</v>
      </c>
      <c r="O36" s="2">
        <f>Sheet1!$D$2</f>
        <v>1.9000000000000001E-4</v>
      </c>
      <c r="P36" s="2">
        <f t="shared" si="2"/>
        <v>164.77560000000003</v>
      </c>
      <c r="Q36" s="2">
        <f>Sheet1!$D$3</f>
        <v>7.1999999999999998E-3</v>
      </c>
      <c r="R36" s="2">
        <f t="shared" si="3"/>
        <v>6244.1280000000006</v>
      </c>
      <c r="S36" s="2">
        <f>Sheet1!$D$4</f>
        <v>4.3E-3</v>
      </c>
      <c r="T36" s="2">
        <f t="shared" si="4"/>
        <v>3729.1320000000001</v>
      </c>
    </row>
    <row r="37" spans="1:20" x14ac:dyDescent="0.3">
      <c r="A37" s="2" t="s">
        <v>114</v>
      </c>
      <c r="B37" s="2" t="s">
        <v>121</v>
      </c>
      <c r="C37" s="2">
        <v>30.266559999999998</v>
      </c>
      <c r="D37" s="2">
        <v>75.1661</v>
      </c>
      <c r="E37" s="2" t="s">
        <v>302</v>
      </c>
      <c r="F37" s="2" t="s">
        <v>303</v>
      </c>
      <c r="G37" s="2" t="s">
        <v>330</v>
      </c>
      <c r="H37" s="2" t="s">
        <v>32</v>
      </c>
      <c r="I37" s="2" t="s">
        <v>76</v>
      </c>
      <c r="J37" s="2" t="s">
        <v>122</v>
      </c>
      <c r="K37" s="2" cm="1">
        <f t="array" ref="K37">SUM(VALUE(_xlfn.TEXTSPLIT(J37, ",")))</f>
        <v>920</v>
      </c>
      <c r="L37" s="2">
        <f t="shared" si="5"/>
        <v>8059200000</v>
      </c>
      <c r="M37" s="2">
        <f>Sheet1!$D$5</f>
        <v>3.6999999999999999E-4</v>
      </c>
      <c r="N37" s="2">
        <f t="shared" si="6"/>
        <v>149.09520000000001</v>
      </c>
      <c r="O37" s="2">
        <f>Sheet1!$D$2</f>
        <v>1.9000000000000001E-4</v>
      </c>
      <c r="P37" s="2">
        <f t="shared" si="2"/>
        <v>76.562400000000011</v>
      </c>
      <c r="Q37" s="2">
        <f>Sheet1!$D$3</f>
        <v>7.1999999999999998E-3</v>
      </c>
      <c r="R37" s="2">
        <f t="shared" si="3"/>
        <v>2901.3119999999999</v>
      </c>
      <c r="S37" s="2">
        <f>Sheet1!$D$4</f>
        <v>4.3E-3</v>
      </c>
      <c r="T37" s="2">
        <f t="shared" si="4"/>
        <v>1732.7280000000001</v>
      </c>
    </row>
    <row r="38" spans="1:20" x14ac:dyDescent="0.3">
      <c r="A38" s="2" t="s">
        <v>117</v>
      </c>
      <c r="B38" s="2" t="s">
        <v>124</v>
      </c>
      <c r="C38" s="2">
        <v>28.485091400000002</v>
      </c>
      <c r="D38" s="2">
        <v>76.373160499999997</v>
      </c>
      <c r="E38" s="2" t="s">
        <v>302</v>
      </c>
      <c r="F38" s="2" t="s">
        <v>303</v>
      </c>
      <c r="G38" s="2" t="s">
        <v>329</v>
      </c>
      <c r="H38" s="2" t="s">
        <v>32</v>
      </c>
      <c r="I38" s="2" t="s">
        <v>76</v>
      </c>
      <c r="J38" s="2" t="s">
        <v>125</v>
      </c>
      <c r="K38" s="2" cm="1">
        <f t="array" ref="K38">SUM(VALUE(_xlfn.TEXTSPLIT(J38, ",")))</f>
        <v>450</v>
      </c>
      <c r="L38" s="2">
        <f t="shared" si="5"/>
        <v>3942000000</v>
      </c>
      <c r="M38" s="2">
        <f>Sheet1!$D$5</f>
        <v>3.6999999999999999E-4</v>
      </c>
      <c r="N38" s="2">
        <f t="shared" si="6"/>
        <v>72.927000000000007</v>
      </c>
      <c r="O38" s="2">
        <f>Sheet1!$D$2</f>
        <v>1.9000000000000001E-4</v>
      </c>
      <c r="P38" s="2">
        <f t="shared" si="2"/>
        <v>37.449000000000005</v>
      </c>
      <c r="Q38" s="2">
        <f>Sheet1!$D$3</f>
        <v>7.1999999999999998E-3</v>
      </c>
      <c r="R38" s="2">
        <f t="shared" si="3"/>
        <v>1419.1200000000001</v>
      </c>
      <c r="S38" s="2">
        <f>Sheet1!$D$4</f>
        <v>4.3E-3</v>
      </c>
      <c r="T38" s="2">
        <f t="shared" si="4"/>
        <v>847.53</v>
      </c>
    </row>
    <row r="39" spans="1:20" x14ac:dyDescent="0.3">
      <c r="A39" s="2" t="s">
        <v>120</v>
      </c>
      <c r="B39" s="2" t="s">
        <v>127</v>
      </c>
      <c r="C39" s="2">
        <v>22.060459999999999</v>
      </c>
      <c r="D39" s="2">
        <v>88.109750000000005</v>
      </c>
      <c r="E39" s="2" t="s">
        <v>302</v>
      </c>
      <c r="F39" s="2" t="s">
        <v>303</v>
      </c>
      <c r="G39" s="2" t="s">
        <v>327</v>
      </c>
      <c r="H39" s="2" t="s">
        <v>32</v>
      </c>
      <c r="I39" s="2" t="s">
        <v>33</v>
      </c>
      <c r="J39" s="2" t="s">
        <v>46</v>
      </c>
      <c r="K39" s="2" cm="1">
        <f t="array" ref="K39">SUM(VALUE(_xlfn.TEXTSPLIT(J39, ",")))</f>
        <v>1200</v>
      </c>
      <c r="L39" s="2">
        <f t="shared" si="5"/>
        <v>10512000000</v>
      </c>
      <c r="M39" s="2">
        <f>Sheet1!$D$5</f>
        <v>3.6999999999999999E-4</v>
      </c>
      <c r="N39" s="2">
        <f t="shared" si="6"/>
        <v>194.47200000000001</v>
      </c>
      <c r="O39" s="2">
        <f>Sheet1!$D$2</f>
        <v>1.9000000000000001E-4</v>
      </c>
      <c r="P39" s="2">
        <f t="shared" si="2"/>
        <v>99.864000000000004</v>
      </c>
      <c r="Q39" s="2">
        <f>Sheet1!$D$3</f>
        <v>7.1999999999999998E-3</v>
      </c>
      <c r="R39" s="2">
        <f t="shared" si="3"/>
        <v>3784.3199999999997</v>
      </c>
      <c r="S39" s="2">
        <f>Sheet1!$D$4</f>
        <v>4.3E-3</v>
      </c>
      <c r="T39" s="2">
        <f t="shared" si="4"/>
        <v>2260.08</v>
      </c>
    </row>
    <row r="40" spans="1:20" x14ac:dyDescent="0.3">
      <c r="A40" s="2" t="s">
        <v>123</v>
      </c>
      <c r="B40" s="2" t="s">
        <v>129</v>
      </c>
      <c r="C40" s="2">
        <v>25.2369032</v>
      </c>
      <c r="D40" s="2">
        <v>87.265595200000007</v>
      </c>
      <c r="E40" s="2" t="s">
        <v>325</v>
      </c>
      <c r="F40" s="2" t="s">
        <v>303</v>
      </c>
      <c r="G40" s="2" t="s">
        <v>328</v>
      </c>
      <c r="H40" s="2" t="s">
        <v>32</v>
      </c>
      <c r="I40" s="2" t="s">
        <v>119</v>
      </c>
      <c r="J40" s="2" t="s">
        <v>130</v>
      </c>
      <c r="K40" s="2" cm="1">
        <f t="array" ref="K40">SUM(VALUE(_xlfn.TEXTSPLIT(J40, ",")))</f>
        <v>450</v>
      </c>
      <c r="L40" s="2">
        <f t="shared" si="5"/>
        <v>3942000000</v>
      </c>
      <c r="M40" s="2">
        <f>Sheet1!$D$5</f>
        <v>3.6999999999999999E-4</v>
      </c>
      <c r="N40" s="2">
        <f t="shared" si="6"/>
        <v>72.927000000000007</v>
      </c>
      <c r="O40" s="2">
        <f>Sheet1!$D$2</f>
        <v>1.9000000000000001E-4</v>
      </c>
      <c r="P40" s="2">
        <f t="shared" si="2"/>
        <v>37.449000000000005</v>
      </c>
      <c r="Q40" s="2">
        <f>Sheet1!$D$3</f>
        <v>7.1999999999999998E-3</v>
      </c>
      <c r="R40" s="2">
        <f t="shared" si="3"/>
        <v>1419.1200000000001</v>
      </c>
      <c r="S40" s="2">
        <f>Sheet1!$D$4</f>
        <v>4.3E-3</v>
      </c>
      <c r="T40" s="2">
        <f t="shared" si="4"/>
        <v>847.53</v>
      </c>
    </row>
    <row r="41" spans="1:20" x14ac:dyDescent="0.3">
      <c r="A41" s="2" t="s">
        <v>126</v>
      </c>
      <c r="B41" s="2" t="s">
        <v>132</v>
      </c>
      <c r="C41" s="2">
        <v>28.017499999999998</v>
      </c>
      <c r="D41" s="2">
        <v>78.13</v>
      </c>
      <c r="E41" s="2" t="s">
        <v>302</v>
      </c>
      <c r="F41" s="2" t="s">
        <v>303</v>
      </c>
      <c r="G41" s="2" t="s">
        <v>326</v>
      </c>
      <c r="H41" s="2" t="s">
        <v>32</v>
      </c>
      <c r="I41" s="2" t="s">
        <v>133</v>
      </c>
      <c r="J41" s="2" t="s">
        <v>134</v>
      </c>
      <c r="K41" s="2" cm="1">
        <f t="array" ref="K41">SUM(VALUE(_xlfn.TEXTSPLIT(J41, ",")))</f>
        <v>1930</v>
      </c>
      <c r="L41" s="2">
        <f t="shared" si="5"/>
        <v>16906800000</v>
      </c>
      <c r="M41" s="2">
        <f>Sheet1!$D$5</f>
        <v>3.6999999999999999E-4</v>
      </c>
      <c r="N41" s="2">
        <f t="shared" si="6"/>
        <v>312.7758</v>
      </c>
      <c r="O41" s="2">
        <f>Sheet1!$D$2</f>
        <v>1.9000000000000001E-4</v>
      </c>
      <c r="P41" s="2">
        <f t="shared" si="2"/>
        <v>160.6146</v>
      </c>
      <c r="Q41" s="2">
        <f>Sheet1!$D$3</f>
        <v>7.1999999999999998E-3</v>
      </c>
      <c r="R41" s="2">
        <f t="shared" si="3"/>
        <v>6086.4480000000003</v>
      </c>
      <c r="S41" s="2">
        <f>Sheet1!$D$4</f>
        <v>4.3E-3</v>
      </c>
      <c r="T41" s="2">
        <f t="shared" si="4"/>
        <v>3634.9620000000004</v>
      </c>
    </row>
    <row r="42" spans="1:20" x14ac:dyDescent="0.3">
      <c r="A42" s="2" t="s">
        <v>128</v>
      </c>
      <c r="B42" s="2" t="s">
        <v>136</v>
      </c>
      <c r="C42" s="2">
        <v>22.076989999999999</v>
      </c>
      <c r="D42" s="2">
        <v>88.098410000000001</v>
      </c>
      <c r="E42" s="2" t="s">
        <v>302</v>
      </c>
      <c r="F42" s="2" t="s">
        <v>303</v>
      </c>
      <c r="G42" s="2" t="s">
        <v>327</v>
      </c>
      <c r="H42" s="2" t="s">
        <v>32</v>
      </c>
      <c r="I42" s="2" t="s">
        <v>33</v>
      </c>
      <c r="J42" s="2" t="s">
        <v>137</v>
      </c>
      <c r="K42" s="2" cm="1">
        <f t="array" ref="K42">SUM(VALUE(_xlfn.TEXTSPLIT(J42, ",")))</f>
        <v>300</v>
      </c>
      <c r="L42" s="2">
        <f t="shared" si="5"/>
        <v>2628000000</v>
      </c>
      <c r="M42" s="2">
        <f>Sheet1!$D$5</f>
        <v>3.6999999999999999E-4</v>
      </c>
      <c r="N42" s="2">
        <f t="shared" si="6"/>
        <v>48.618000000000002</v>
      </c>
      <c r="O42" s="2">
        <f>Sheet1!$D$2</f>
        <v>1.9000000000000001E-4</v>
      </c>
      <c r="P42" s="2">
        <f t="shared" si="2"/>
        <v>24.966000000000001</v>
      </c>
      <c r="Q42" s="2">
        <f>Sheet1!$D$3</f>
        <v>7.1999999999999998E-3</v>
      </c>
      <c r="R42" s="2">
        <f t="shared" si="3"/>
        <v>946.07999999999993</v>
      </c>
      <c r="S42" s="2">
        <f>Sheet1!$D$4</f>
        <v>4.3E-3</v>
      </c>
      <c r="T42" s="2">
        <f t="shared" si="4"/>
        <v>565.02</v>
      </c>
    </row>
    <row r="43" spans="1:20" x14ac:dyDescent="0.3">
      <c r="A43" s="2" t="s">
        <v>131</v>
      </c>
      <c r="B43" s="2" t="s">
        <v>139</v>
      </c>
      <c r="C43" s="2">
        <v>28.48509</v>
      </c>
      <c r="D43" s="2">
        <v>76.373159999999999</v>
      </c>
      <c r="E43" s="2" t="s">
        <v>302</v>
      </c>
      <c r="F43" s="2" t="s">
        <v>303</v>
      </c>
      <c r="G43" s="2" t="s">
        <v>329</v>
      </c>
      <c r="H43" s="2" t="s">
        <v>32</v>
      </c>
      <c r="I43" s="2" t="s">
        <v>17</v>
      </c>
      <c r="J43" s="2" t="s">
        <v>140</v>
      </c>
      <c r="K43" s="2" cm="1">
        <f t="array" ref="K43">SUM(VALUE(_xlfn.TEXTSPLIT(J43, ",")))</f>
        <v>1500</v>
      </c>
      <c r="L43" s="2">
        <f t="shared" si="5"/>
        <v>13140000000</v>
      </c>
      <c r="M43" s="2">
        <f>Sheet1!$D$5</f>
        <v>3.6999999999999999E-4</v>
      </c>
      <c r="N43" s="2">
        <f t="shared" si="6"/>
        <v>243.09000000000003</v>
      </c>
      <c r="O43" s="2">
        <f>Sheet1!$D$2</f>
        <v>1.9000000000000001E-4</v>
      </c>
      <c r="P43" s="2">
        <f t="shared" si="2"/>
        <v>124.83</v>
      </c>
      <c r="Q43" s="2">
        <f>Sheet1!$D$3</f>
        <v>7.1999999999999998E-3</v>
      </c>
      <c r="R43" s="2">
        <f t="shared" si="3"/>
        <v>4730.4000000000005</v>
      </c>
      <c r="S43" s="2">
        <f>Sheet1!$D$4</f>
        <v>4.3E-3</v>
      </c>
      <c r="T43" s="2">
        <f t="shared" si="4"/>
        <v>2825.1000000000004</v>
      </c>
    </row>
    <row r="44" spans="1:20" x14ac:dyDescent="0.3">
      <c r="A44" s="2" t="s">
        <v>135</v>
      </c>
      <c r="B44" s="2" t="s">
        <v>142</v>
      </c>
      <c r="C44" s="2">
        <v>27.4971</v>
      </c>
      <c r="D44" s="2">
        <v>78.826070000000001</v>
      </c>
      <c r="E44" s="2" t="s">
        <v>302</v>
      </c>
      <c r="F44" s="2" t="s">
        <v>303</v>
      </c>
      <c r="G44" s="2" t="s">
        <v>326</v>
      </c>
      <c r="H44" s="2" t="s">
        <v>32</v>
      </c>
      <c r="I44" s="2" t="s">
        <v>21</v>
      </c>
      <c r="J44" s="2" t="s">
        <v>22</v>
      </c>
      <c r="K44" s="2" cm="1">
        <f t="array" ref="K44">SUM(VALUE(_xlfn.TEXTSPLIT(J44, ",")))</f>
        <v>1320</v>
      </c>
      <c r="L44" s="2">
        <f t="shared" si="5"/>
        <v>11563200000</v>
      </c>
      <c r="M44" s="2">
        <f>Sheet1!$D$5</f>
        <v>3.6999999999999999E-4</v>
      </c>
      <c r="N44" s="2">
        <f t="shared" si="6"/>
        <v>213.91920000000002</v>
      </c>
      <c r="O44" s="2">
        <f>Sheet1!$D$2</f>
        <v>1.9000000000000001E-4</v>
      </c>
      <c r="P44" s="2">
        <f t="shared" si="2"/>
        <v>109.85039999999999</v>
      </c>
      <c r="Q44" s="2">
        <f>Sheet1!$D$3</f>
        <v>7.1999999999999998E-3</v>
      </c>
      <c r="R44" s="2">
        <f t="shared" si="3"/>
        <v>4162.7519999999995</v>
      </c>
      <c r="S44" s="2">
        <f>Sheet1!$D$4</f>
        <v>4.3E-3</v>
      </c>
      <c r="T44" s="2">
        <f t="shared" si="4"/>
        <v>2486.0880000000002</v>
      </c>
    </row>
    <row r="45" spans="1:20" x14ac:dyDescent="0.3">
      <c r="A45" s="2" t="s">
        <v>138</v>
      </c>
      <c r="B45" s="2" t="s">
        <v>144</v>
      </c>
      <c r="C45" s="2">
        <v>25.236899999999999</v>
      </c>
      <c r="D45" s="2">
        <v>87.265600000000006</v>
      </c>
      <c r="E45" s="2" t="s">
        <v>302</v>
      </c>
      <c r="F45" s="2" t="s">
        <v>303</v>
      </c>
      <c r="G45" s="2" t="s">
        <v>328</v>
      </c>
      <c r="H45" s="2" t="s">
        <v>32</v>
      </c>
      <c r="I45" s="2" t="s">
        <v>145</v>
      </c>
      <c r="J45" s="2" t="s">
        <v>146</v>
      </c>
      <c r="K45" s="2" cm="1">
        <f t="array" ref="K45">SUM(VALUE(_xlfn.TEXTSPLIT(J45, ",")))</f>
        <v>2340</v>
      </c>
      <c r="L45" s="2">
        <f t="shared" si="5"/>
        <v>20498400000</v>
      </c>
      <c r="M45" s="2">
        <f>Sheet1!$D$5</f>
        <v>3.6999999999999999E-4</v>
      </c>
      <c r="N45" s="2">
        <f t="shared" si="6"/>
        <v>379.22040000000004</v>
      </c>
      <c r="O45" s="2">
        <f>Sheet1!$D$2</f>
        <v>1.9000000000000001E-4</v>
      </c>
      <c r="P45" s="2">
        <f t="shared" si="2"/>
        <v>194.73480000000001</v>
      </c>
      <c r="Q45" s="2">
        <f>Sheet1!$D$3</f>
        <v>7.1999999999999998E-3</v>
      </c>
      <c r="R45" s="2">
        <f t="shared" si="3"/>
        <v>7379.4240000000009</v>
      </c>
      <c r="S45" s="2">
        <f>Sheet1!$D$4</f>
        <v>4.3E-3</v>
      </c>
      <c r="T45" s="2">
        <f t="shared" si="4"/>
        <v>4407.1559999999999</v>
      </c>
    </row>
    <row r="46" spans="1:20" x14ac:dyDescent="0.3">
      <c r="A46" s="2" t="s">
        <v>141</v>
      </c>
      <c r="B46" s="2" t="s">
        <v>149</v>
      </c>
      <c r="C46" s="2">
        <v>28.488143000000001</v>
      </c>
      <c r="D46" s="2">
        <v>76.352534000000006</v>
      </c>
      <c r="E46" s="2" t="s">
        <v>302</v>
      </c>
      <c r="F46" s="2" t="s">
        <v>303</v>
      </c>
      <c r="G46" s="2" t="s">
        <v>329</v>
      </c>
      <c r="H46" s="2" t="s">
        <v>32</v>
      </c>
      <c r="I46" s="2" t="s">
        <v>88</v>
      </c>
      <c r="J46" s="2" t="s">
        <v>34</v>
      </c>
      <c r="K46" s="2" cm="1">
        <f t="array" ref="K46">SUM(VALUE(_xlfn.TEXTSPLIT(J46, ",")))</f>
        <v>1600</v>
      </c>
      <c r="L46" s="2">
        <f t="shared" si="5"/>
        <v>14016000000</v>
      </c>
      <c r="M46" s="2">
        <f>Sheet1!$D$5</f>
        <v>3.6999999999999999E-4</v>
      </c>
      <c r="N46" s="2">
        <f t="shared" si="6"/>
        <v>259.29599999999999</v>
      </c>
      <c r="O46" s="2">
        <f>Sheet1!$D$2</f>
        <v>1.9000000000000001E-4</v>
      </c>
      <c r="P46" s="2">
        <f t="shared" si="2"/>
        <v>133.15200000000002</v>
      </c>
      <c r="Q46" s="2">
        <f>Sheet1!$D$3</f>
        <v>7.1999999999999998E-3</v>
      </c>
      <c r="R46" s="2">
        <f t="shared" si="3"/>
        <v>5045.76</v>
      </c>
      <c r="S46" s="2">
        <f>Sheet1!$D$4</f>
        <v>4.3E-3</v>
      </c>
      <c r="T46" s="2">
        <f t="shared" si="4"/>
        <v>3013.4400000000005</v>
      </c>
    </row>
    <row r="47" spans="1:20" x14ac:dyDescent="0.3">
      <c r="A47" s="2" t="s">
        <v>143</v>
      </c>
      <c r="B47" s="2" t="s">
        <v>151</v>
      </c>
      <c r="C47" s="2">
        <v>28.016987260000001</v>
      </c>
      <c r="D47" s="2">
        <v>80.830636769999998</v>
      </c>
      <c r="E47" s="2" t="s">
        <v>302</v>
      </c>
      <c r="F47" s="2" t="s">
        <v>303</v>
      </c>
      <c r="G47" s="2" t="s">
        <v>326</v>
      </c>
      <c r="H47" s="2" t="s">
        <v>32</v>
      </c>
      <c r="I47" s="2" t="s">
        <v>33</v>
      </c>
      <c r="J47" s="2" t="s">
        <v>85</v>
      </c>
      <c r="K47" s="2" cm="1">
        <f t="array" ref="K47">SUM(VALUE(_xlfn.TEXTSPLIT(J47, ",")))</f>
        <v>90</v>
      </c>
      <c r="L47" s="2">
        <f t="shared" si="5"/>
        <v>788400000</v>
      </c>
      <c r="M47" s="2">
        <f>Sheet1!$D$5</f>
        <v>3.6999999999999999E-4</v>
      </c>
      <c r="N47" s="2">
        <f t="shared" si="6"/>
        <v>14.585400000000002</v>
      </c>
      <c r="O47" s="2">
        <f>Sheet1!$D$2</f>
        <v>1.9000000000000001E-4</v>
      </c>
      <c r="P47" s="2">
        <f t="shared" si="2"/>
        <v>7.4897999999999998</v>
      </c>
      <c r="Q47" s="2">
        <f>Sheet1!$D$3</f>
        <v>7.1999999999999998E-3</v>
      </c>
      <c r="R47" s="2">
        <f t="shared" si="3"/>
        <v>283.82400000000001</v>
      </c>
      <c r="S47" s="2">
        <f>Sheet1!$D$4</f>
        <v>4.3E-3</v>
      </c>
      <c r="T47" s="2">
        <f t="shared" si="4"/>
        <v>169.506</v>
      </c>
    </row>
    <row r="48" spans="1:20" x14ac:dyDescent="0.3">
      <c r="A48" s="2" t="s">
        <v>147</v>
      </c>
      <c r="B48" s="2" t="s">
        <v>153</v>
      </c>
      <c r="C48" s="2">
        <v>28.158329999999999</v>
      </c>
      <c r="D48" s="2">
        <v>77.908330000000007</v>
      </c>
      <c r="E48" s="2" t="s">
        <v>302</v>
      </c>
      <c r="F48" s="2" t="s">
        <v>303</v>
      </c>
      <c r="G48" s="2" t="s">
        <v>326</v>
      </c>
      <c r="H48" s="2" t="s">
        <v>32</v>
      </c>
      <c r="I48" s="2" t="s">
        <v>21</v>
      </c>
      <c r="J48" s="2" t="s">
        <v>22</v>
      </c>
      <c r="K48" s="2" cm="1">
        <f t="array" ref="K48">SUM(VALUE(_xlfn.TEXTSPLIT(J48, ",")))</f>
        <v>1320</v>
      </c>
      <c r="L48" s="2">
        <f t="shared" si="5"/>
        <v>11563200000</v>
      </c>
      <c r="M48" s="2">
        <f>Sheet1!$D$5</f>
        <v>3.6999999999999999E-4</v>
      </c>
      <c r="N48" s="2">
        <f t="shared" si="6"/>
        <v>213.91920000000002</v>
      </c>
      <c r="O48" s="2">
        <f>Sheet1!$D$2</f>
        <v>1.9000000000000001E-4</v>
      </c>
      <c r="P48" s="2">
        <f t="shared" si="2"/>
        <v>109.85039999999999</v>
      </c>
      <c r="Q48" s="2">
        <f>Sheet1!$D$3</f>
        <v>7.1999999999999998E-3</v>
      </c>
      <c r="R48" s="2">
        <f t="shared" si="3"/>
        <v>4162.7519999999995</v>
      </c>
      <c r="S48" s="2">
        <f>Sheet1!$D$4</f>
        <v>4.3E-3</v>
      </c>
      <c r="T48" s="2">
        <f t="shared" si="4"/>
        <v>2486.0880000000002</v>
      </c>
    </row>
    <row r="49" spans="1:20" x14ac:dyDescent="0.3">
      <c r="A49" s="2" t="s">
        <v>148</v>
      </c>
      <c r="B49" s="2" t="s">
        <v>155</v>
      </c>
      <c r="C49" s="2">
        <v>22.41657</v>
      </c>
      <c r="D49" s="2">
        <v>87.870980000000003</v>
      </c>
      <c r="E49" s="2" t="s">
        <v>302</v>
      </c>
      <c r="F49" s="2" t="s">
        <v>303</v>
      </c>
      <c r="G49" s="2" t="s">
        <v>327</v>
      </c>
      <c r="H49" s="2" t="s">
        <v>32</v>
      </c>
      <c r="I49" s="2" t="s">
        <v>112</v>
      </c>
      <c r="J49" s="2" t="s">
        <v>156</v>
      </c>
      <c r="K49" s="2" cm="1">
        <f t="array" ref="K49">SUM(VALUE(_xlfn.TEXTSPLIT(J49, ",")))</f>
        <v>1260</v>
      </c>
      <c r="L49" s="2">
        <f t="shared" si="5"/>
        <v>11037600000</v>
      </c>
      <c r="M49" s="2">
        <f>Sheet1!$D$5</f>
        <v>3.6999999999999999E-4</v>
      </c>
      <c r="N49" s="2">
        <f t="shared" si="6"/>
        <v>204.19560000000001</v>
      </c>
      <c r="O49" s="2">
        <f>Sheet1!$D$2</f>
        <v>1.9000000000000001E-4</v>
      </c>
      <c r="P49" s="2">
        <f t="shared" si="2"/>
        <v>104.85719999999999</v>
      </c>
      <c r="Q49" s="2">
        <f>Sheet1!$D$3</f>
        <v>7.1999999999999998E-3</v>
      </c>
      <c r="R49" s="2">
        <f t="shared" si="3"/>
        <v>3973.5360000000001</v>
      </c>
      <c r="S49" s="2">
        <f>Sheet1!$D$4</f>
        <v>4.3E-3</v>
      </c>
      <c r="T49" s="2">
        <f t="shared" si="4"/>
        <v>2373.0840000000003</v>
      </c>
    </row>
    <row r="50" spans="1:20" x14ac:dyDescent="0.3">
      <c r="A50" s="2" t="s">
        <v>150</v>
      </c>
      <c r="B50" s="2" t="s">
        <v>158</v>
      </c>
      <c r="C50" s="2">
        <v>27.07887324</v>
      </c>
      <c r="D50" s="2">
        <v>82.083603699999998</v>
      </c>
      <c r="E50" s="2" t="s">
        <v>302</v>
      </c>
      <c r="F50" s="2" t="s">
        <v>303</v>
      </c>
      <c r="G50" s="2" t="s">
        <v>326</v>
      </c>
      <c r="H50" s="2" t="s">
        <v>32</v>
      </c>
      <c r="I50" s="2" t="s">
        <v>33</v>
      </c>
      <c r="J50" s="2" t="s">
        <v>85</v>
      </c>
      <c r="K50" s="2" cm="1">
        <f t="array" ref="K50">SUM(VALUE(_xlfn.TEXTSPLIT(J50, ",")))</f>
        <v>90</v>
      </c>
      <c r="L50" s="2">
        <f t="shared" si="5"/>
        <v>788400000</v>
      </c>
      <c r="M50" s="2">
        <f>Sheet1!$D$5</f>
        <v>3.6999999999999999E-4</v>
      </c>
      <c r="N50" s="2">
        <f t="shared" si="6"/>
        <v>14.585400000000002</v>
      </c>
      <c r="O50" s="2">
        <f>Sheet1!$D$2</f>
        <v>1.9000000000000001E-4</v>
      </c>
      <c r="P50" s="2">
        <f t="shared" si="2"/>
        <v>7.4897999999999998</v>
      </c>
      <c r="Q50" s="2">
        <f>Sheet1!$D$3</f>
        <v>7.1999999999999998E-3</v>
      </c>
      <c r="R50" s="2">
        <f t="shared" si="3"/>
        <v>283.82400000000001</v>
      </c>
      <c r="S50" s="2">
        <f>Sheet1!$D$4</f>
        <v>4.3E-3</v>
      </c>
      <c r="T50" s="2">
        <f t="shared" si="4"/>
        <v>169.506</v>
      </c>
    </row>
    <row r="51" spans="1:20" x14ac:dyDescent="0.3">
      <c r="A51" s="2" t="s">
        <v>152</v>
      </c>
      <c r="B51" s="2" t="s">
        <v>160</v>
      </c>
      <c r="C51" s="2">
        <v>28.488140000000001</v>
      </c>
      <c r="D51" s="2">
        <v>76.352530000000002</v>
      </c>
      <c r="E51" s="2" t="s">
        <v>302</v>
      </c>
      <c r="F51" s="2" t="s">
        <v>303</v>
      </c>
      <c r="G51" s="2" t="s">
        <v>329</v>
      </c>
      <c r="H51" s="2" t="s">
        <v>32</v>
      </c>
      <c r="I51" s="2" t="s">
        <v>33</v>
      </c>
      <c r="J51" s="2" t="s">
        <v>22</v>
      </c>
      <c r="K51" s="2" cm="1">
        <f t="array" ref="K51">SUM(VALUE(_xlfn.TEXTSPLIT(J51, ",")))</f>
        <v>1320</v>
      </c>
      <c r="L51" s="2">
        <f t="shared" si="5"/>
        <v>11563200000</v>
      </c>
      <c r="M51" s="2">
        <f>Sheet1!$D$5</f>
        <v>3.6999999999999999E-4</v>
      </c>
      <c r="N51" s="2">
        <f t="shared" si="6"/>
        <v>213.91920000000002</v>
      </c>
      <c r="O51" s="2">
        <f>Sheet1!$D$2</f>
        <v>1.9000000000000001E-4</v>
      </c>
      <c r="P51" s="2">
        <f t="shared" si="2"/>
        <v>109.85039999999999</v>
      </c>
      <c r="Q51" s="2">
        <f>Sheet1!$D$3</f>
        <v>7.1999999999999998E-3</v>
      </c>
      <c r="R51" s="2">
        <f t="shared" si="3"/>
        <v>4162.7519999999995</v>
      </c>
      <c r="S51" s="2">
        <f>Sheet1!$D$4</f>
        <v>4.3E-3</v>
      </c>
      <c r="T51" s="2">
        <f t="shared" si="4"/>
        <v>2486.0880000000002</v>
      </c>
    </row>
    <row r="52" spans="1:20" x14ac:dyDescent="0.3">
      <c r="A52" s="2" t="s">
        <v>154</v>
      </c>
      <c r="B52" s="2" t="s">
        <v>162</v>
      </c>
      <c r="C52">
        <v>28.244404469999999</v>
      </c>
      <c r="D52">
        <v>79.997547010000005</v>
      </c>
      <c r="E52" s="2" t="s">
        <v>302</v>
      </c>
      <c r="F52" s="2" t="s">
        <v>303</v>
      </c>
      <c r="G52" s="2" t="s">
        <v>326</v>
      </c>
      <c r="H52" s="2" t="s">
        <v>32</v>
      </c>
      <c r="I52" s="2" t="s">
        <v>33</v>
      </c>
      <c r="J52" s="2" t="s">
        <v>85</v>
      </c>
      <c r="K52" s="2" cm="1">
        <f t="array" ref="K52">SUM(VALUE(_xlfn.TEXTSPLIT(J52, ",")))</f>
        <v>90</v>
      </c>
      <c r="L52" s="2">
        <f t="shared" si="5"/>
        <v>788400000</v>
      </c>
      <c r="M52" s="2">
        <f>Sheet1!$D$5</f>
        <v>3.6999999999999999E-4</v>
      </c>
      <c r="N52" s="2">
        <f t="shared" si="6"/>
        <v>14.585400000000002</v>
      </c>
      <c r="O52" s="2">
        <f>Sheet1!$D$2</f>
        <v>1.9000000000000001E-4</v>
      </c>
      <c r="P52" s="2">
        <f t="shared" si="2"/>
        <v>7.4897999999999998</v>
      </c>
      <c r="Q52" s="2">
        <f>Sheet1!$D$3</f>
        <v>7.1999999999999998E-3</v>
      </c>
      <c r="R52" s="2">
        <f t="shared" si="3"/>
        <v>283.82400000000001</v>
      </c>
      <c r="S52" s="2">
        <f>Sheet1!$D$4</f>
        <v>4.3E-3</v>
      </c>
      <c r="T52" s="2">
        <f t="shared" si="4"/>
        <v>169.506</v>
      </c>
    </row>
    <row r="53" spans="1:20" x14ac:dyDescent="0.3">
      <c r="A53" s="2" t="s">
        <v>157</v>
      </c>
      <c r="B53" s="2" t="s">
        <v>164</v>
      </c>
      <c r="C53" s="2">
        <v>25.145869999999999</v>
      </c>
      <c r="D53" s="2">
        <v>81.940100000000001</v>
      </c>
      <c r="E53" s="2" t="s">
        <v>302</v>
      </c>
      <c r="F53" s="2" t="s">
        <v>303</v>
      </c>
      <c r="G53" s="2" t="s">
        <v>326</v>
      </c>
      <c r="H53" s="2" t="s">
        <v>32</v>
      </c>
      <c r="I53" s="2" t="s">
        <v>33</v>
      </c>
      <c r="J53" s="2" t="s">
        <v>22</v>
      </c>
      <c r="K53" s="2" cm="1">
        <f t="array" ref="K53">SUM(VALUE(_xlfn.TEXTSPLIT(J53, ",")))</f>
        <v>1320</v>
      </c>
      <c r="L53" s="2">
        <f t="shared" si="5"/>
        <v>11563200000</v>
      </c>
      <c r="M53" s="2">
        <f>Sheet1!$D$5</f>
        <v>3.6999999999999999E-4</v>
      </c>
      <c r="N53" s="2">
        <f t="shared" si="6"/>
        <v>213.91920000000002</v>
      </c>
      <c r="O53" s="2">
        <f>Sheet1!$D$2</f>
        <v>1.9000000000000001E-4</v>
      </c>
      <c r="P53" s="2">
        <f t="shared" si="2"/>
        <v>109.85039999999999</v>
      </c>
      <c r="Q53" s="2">
        <f>Sheet1!$D$3</f>
        <v>7.1999999999999998E-3</v>
      </c>
      <c r="R53" s="2">
        <f t="shared" si="3"/>
        <v>4162.7519999999995</v>
      </c>
      <c r="S53" s="2">
        <f>Sheet1!$D$4</f>
        <v>4.3E-3</v>
      </c>
      <c r="T53" s="2">
        <f t="shared" si="4"/>
        <v>2486.0880000000002</v>
      </c>
    </row>
    <row r="54" spans="1:20" x14ac:dyDescent="0.3">
      <c r="A54" s="2" t="s">
        <v>159</v>
      </c>
      <c r="B54" s="2" t="s">
        <v>166</v>
      </c>
      <c r="C54" s="2">
        <v>23.463899999999999</v>
      </c>
      <c r="D54" s="2">
        <v>87.131100000000004</v>
      </c>
      <c r="E54" s="2" t="s">
        <v>302</v>
      </c>
      <c r="F54" s="2" t="s">
        <v>303</v>
      </c>
      <c r="G54" s="2" t="s">
        <v>327</v>
      </c>
      <c r="H54" s="2" t="s">
        <v>32</v>
      </c>
      <c r="I54" s="2" t="s">
        <v>167</v>
      </c>
      <c r="J54" s="2" t="s">
        <v>168</v>
      </c>
      <c r="K54" s="2" cm="1">
        <f t="array" ref="K54">SUM(VALUE(_xlfn.TEXTSPLIT(J54, ",")))</f>
        <v>2340</v>
      </c>
      <c r="L54" s="2">
        <f t="shared" si="5"/>
        <v>20498400000</v>
      </c>
      <c r="M54" s="2">
        <f>Sheet1!$D$5</f>
        <v>3.6999999999999999E-4</v>
      </c>
      <c r="N54" s="2">
        <f t="shared" si="6"/>
        <v>379.22040000000004</v>
      </c>
      <c r="O54" s="2">
        <f>Sheet1!$D$2</f>
        <v>1.9000000000000001E-4</v>
      </c>
      <c r="P54" s="2">
        <f t="shared" si="2"/>
        <v>194.73480000000001</v>
      </c>
      <c r="Q54" s="2">
        <f>Sheet1!$D$3</f>
        <v>7.1999999999999998E-3</v>
      </c>
      <c r="R54" s="2">
        <f t="shared" si="3"/>
        <v>7379.4240000000009</v>
      </c>
      <c r="S54" s="2">
        <f>Sheet1!$D$4</f>
        <v>4.3E-3</v>
      </c>
      <c r="T54" s="2">
        <f t="shared" si="4"/>
        <v>4407.1559999999999</v>
      </c>
    </row>
    <row r="55" spans="1:20" x14ac:dyDescent="0.3">
      <c r="A55" s="2" t="s">
        <v>161</v>
      </c>
      <c r="B55" s="2" t="s">
        <v>170</v>
      </c>
      <c r="C55" s="2">
        <v>26.194769999999998</v>
      </c>
      <c r="D55" s="2">
        <v>85.303299999999993</v>
      </c>
      <c r="E55" s="2" t="s">
        <v>302</v>
      </c>
      <c r="F55" s="2" t="s">
        <v>303</v>
      </c>
      <c r="G55" s="2" t="s">
        <v>328</v>
      </c>
      <c r="H55" s="2" t="s">
        <v>32</v>
      </c>
      <c r="I55" s="2" t="s">
        <v>171</v>
      </c>
      <c r="J55" s="2" t="s">
        <v>172</v>
      </c>
      <c r="K55" s="2" cm="1">
        <f t="array" ref="K55">SUM(VALUE(_xlfn.TEXTSPLIT(J55, ",")))</f>
        <v>610</v>
      </c>
      <c r="L55" s="2">
        <f t="shared" si="5"/>
        <v>5343600000</v>
      </c>
      <c r="M55" s="2">
        <f>Sheet1!$D$5</f>
        <v>3.6999999999999999E-4</v>
      </c>
      <c r="N55" s="2">
        <f t="shared" si="6"/>
        <v>98.856600000000014</v>
      </c>
      <c r="O55" s="2">
        <f>Sheet1!$D$2</f>
        <v>1.9000000000000001E-4</v>
      </c>
      <c r="P55" s="2">
        <f t="shared" si="2"/>
        <v>50.764200000000002</v>
      </c>
      <c r="Q55" s="2">
        <f>Sheet1!$D$3</f>
        <v>7.1999999999999998E-3</v>
      </c>
      <c r="R55" s="2">
        <f t="shared" si="3"/>
        <v>1923.6959999999999</v>
      </c>
      <c r="S55" s="2">
        <f>Sheet1!$D$4</f>
        <v>4.3E-3</v>
      </c>
      <c r="T55" s="2">
        <f t="shared" si="4"/>
        <v>1148.874</v>
      </c>
    </row>
    <row r="56" spans="1:20" x14ac:dyDescent="0.3">
      <c r="A56" s="2" t="s">
        <v>163</v>
      </c>
      <c r="B56" s="2" t="s">
        <v>174</v>
      </c>
      <c r="C56" s="2">
        <v>24.776</v>
      </c>
      <c r="D56" s="2">
        <v>84.158029999999997</v>
      </c>
      <c r="E56" s="2" t="s">
        <v>302</v>
      </c>
      <c r="F56" s="2" t="s">
        <v>303</v>
      </c>
      <c r="G56" s="2" t="s">
        <v>328</v>
      </c>
      <c r="H56" s="2" t="s">
        <v>32</v>
      </c>
      <c r="I56" s="2" t="s">
        <v>17</v>
      </c>
      <c r="J56" s="2" t="s">
        <v>73</v>
      </c>
      <c r="K56" s="2" cm="1">
        <f t="array" ref="K56">SUM(VALUE(_xlfn.TEXTSPLIT(J56, ",")))</f>
        <v>1980</v>
      </c>
      <c r="L56" s="2">
        <f t="shared" si="5"/>
        <v>17344800000</v>
      </c>
      <c r="M56" s="2">
        <f>Sheet1!$D$5</f>
        <v>3.6999999999999999E-4</v>
      </c>
      <c r="N56" s="2">
        <f t="shared" si="6"/>
        <v>320.87880000000001</v>
      </c>
      <c r="O56" s="2">
        <f>Sheet1!$D$2</f>
        <v>1.9000000000000001E-4</v>
      </c>
      <c r="P56" s="2">
        <f t="shared" si="2"/>
        <v>164.77560000000003</v>
      </c>
      <c r="Q56" s="2">
        <f>Sheet1!$D$3</f>
        <v>7.1999999999999998E-3</v>
      </c>
      <c r="R56" s="2">
        <f t="shared" si="3"/>
        <v>6244.1280000000006</v>
      </c>
      <c r="S56" s="2">
        <f>Sheet1!$D$4</f>
        <v>4.3E-3</v>
      </c>
      <c r="T56" s="2">
        <f t="shared" si="4"/>
        <v>3729.1320000000001</v>
      </c>
    </row>
    <row r="57" spans="1:20" x14ac:dyDescent="0.3">
      <c r="A57" s="2" t="s">
        <v>165</v>
      </c>
      <c r="B57" s="2" t="s">
        <v>176</v>
      </c>
      <c r="C57" s="2">
        <v>24.705079999999999</v>
      </c>
      <c r="D57" s="2">
        <v>84.088740000000001</v>
      </c>
      <c r="E57" s="2" t="s">
        <v>302</v>
      </c>
      <c r="F57" s="2" t="s">
        <v>303</v>
      </c>
      <c r="G57" s="2" t="s">
        <v>328</v>
      </c>
      <c r="H57" s="2" t="s">
        <v>32</v>
      </c>
      <c r="I57" s="2" t="s">
        <v>76</v>
      </c>
      <c r="J57" s="2" t="s">
        <v>177</v>
      </c>
      <c r="K57" s="2" cm="1">
        <f t="array" ref="K57">SUM(VALUE(_xlfn.TEXTSPLIT(J57, ",")))</f>
        <v>1000</v>
      </c>
      <c r="L57" s="2">
        <f t="shared" si="5"/>
        <v>8760000000</v>
      </c>
      <c r="M57" s="2">
        <f>Sheet1!$D$5</f>
        <v>3.6999999999999999E-4</v>
      </c>
      <c r="N57" s="2">
        <f t="shared" si="6"/>
        <v>162.06</v>
      </c>
      <c r="O57" s="2">
        <f>Sheet1!$D$2</f>
        <v>1.9000000000000001E-4</v>
      </c>
      <c r="P57" s="2">
        <f t="shared" si="2"/>
        <v>83.220000000000013</v>
      </c>
      <c r="Q57" s="2">
        <f>Sheet1!$D$3</f>
        <v>7.1999999999999998E-3</v>
      </c>
      <c r="R57" s="2">
        <f t="shared" si="3"/>
        <v>3153.6000000000004</v>
      </c>
      <c r="S57" s="2">
        <f>Sheet1!$D$4</f>
        <v>4.3E-3</v>
      </c>
      <c r="T57" s="2">
        <f t="shared" si="4"/>
        <v>1883.4</v>
      </c>
    </row>
    <row r="58" spans="1:20" x14ac:dyDescent="0.3">
      <c r="A58" s="2" t="s">
        <v>169</v>
      </c>
      <c r="B58" s="2" t="s">
        <v>179</v>
      </c>
      <c r="C58" s="2">
        <v>28.603000000000002</v>
      </c>
      <c r="D58" s="2">
        <v>77.607799999999997</v>
      </c>
      <c r="E58" s="2" t="s">
        <v>302</v>
      </c>
      <c r="F58" s="2" t="s">
        <v>303</v>
      </c>
      <c r="G58" s="2" t="s">
        <v>326</v>
      </c>
      <c r="H58" s="2" t="s">
        <v>32</v>
      </c>
      <c r="I58" s="2" t="s">
        <v>112</v>
      </c>
      <c r="J58" s="2" t="s">
        <v>180</v>
      </c>
      <c r="K58" s="2" cm="1">
        <f t="array" ref="K58">SUM(VALUE(_xlfn.TEXTSPLIT(J58, ",")))</f>
        <v>1820</v>
      </c>
      <c r="L58" s="2">
        <f t="shared" si="5"/>
        <v>15943200000</v>
      </c>
      <c r="M58" s="2">
        <f>Sheet1!$D$5</f>
        <v>3.6999999999999999E-4</v>
      </c>
      <c r="N58" s="2">
        <f t="shared" si="6"/>
        <v>294.94920000000002</v>
      </c>
      <c r="O58" s="2">
        <f>Sheet1!$D$2</f>
        <v>1.9000000000000001E-4</v>
      </c>
      <c r="P58" s="2">
        <f t="shared" si="2"/>
        <v>151.46040000000002</v>
      </c>
      <c r="Q58" s="2">
        <f>Sheet1!$D$3</f>
        <v>7.1999999999999998E-3</v>
      </c>
      <c r="R58" s="2">
        <f t="shared" si="3"/>
        <v>5739.5519999999997</v>
      </c>
      <c r="S58" s="2">
        <f>Sheet1!$D$4</f>
        <v>4.3E-3</v>
      </c>
      <c r="T58" s="2">
        <f t="shared" si="4"/>
        <v>3427.788</v>
      </c>
    </row>
    <row r="59" spans="1:20" x14ac:dyDescent="0.3">
      <c r="A59" s="2" t="s">
        <v>173</v>
      </c>
      <c r="B59" s="2" t="s">
        <v>182</v>
      </c>
      <c r="C59" s="2">
        <v>24.444500000000001</v>
      </c>
      <c r="D59" s="2">
        <v>82.98</v>
      </c>
      <c r="E59" s="2" t="s">
        <v>302</v>
      </c>
      <c r="F59" s="2" t="s">
        <v>303</v>
      </c>
      <c r="G59" s="2" t="s">
        <v>326</v>
      </c>
      <c r="H59" s="2" t="s">
        <v>32</v>
      </c>
      <c r="I59" s="2" t="s">
        <v>183</v>
      </c>
      <c r="J59" s="2" t="s">
        <v>184</v>
      </c>
      <c r="K59" s="2" cm="1">
        <f t="array" ref="K59">SUM(VALUE(_xlfn.TEXTSPLIT(J59, ",")))</f>
        <v>2320</v>
      </c>
      <c r="L59" s="2">
        <f t="shared" si="5"/>
        <v>20323200000</v>
      </c>
      <c r="M59" s="2">
        <f>Sheet1!$D$5</f>
        <v>3.6999999999999999E-4</v>
      </c>
      <c r="N59" s="2">
        <f t="shared" si="6"/>
        <v>375.97919999999999</v>
      </c>
      <c r="O59" s="2">
        <f>Sheet1!$D$2</f>
        <v>1.9000000000000001E-4</v>
      </c>
      <c r="P59" s="2">
        <f t="shared" si="2"/>
        <v>193.07040000000001</v>
      </c>
      <c r="Q59" s="2">
        <f>Sheet1!$D$3</f>
        <v>7.1999999999999998E-3</v>
      </c>
      <c r="R59" s="2">
        <f t="shared" si="3"/>
        <v>7316.3520000000008</v>
      </c>
      <c r="S59" s="2">
        <f>Sheet1!$D$4</f>
        <v>4.3E-3</v>
      </c>
      <c r="T59" s="2">
        <f t="shared" si="4"/>
        <v>4369.4880000000003</v>
      </c>
    </row>
    <row r="60" spans="1:20" x14ac:dyDescent="0.3">
      <c r="A60" s="2" t="s">
        <v>175</v>
      </c>
      <c r="B60" s="2" t="s">
        <v>186</v>
      </c>
      <c r="C60" s="2">
        <v>29.39751</v>
      </c>
      <c r="D60" s="2">
        <v>76.876320000000007</v>
      </c>
      <c r="E60" s="2" t="s">
        <v>302</v>
      </c>
      <c r="F60" s="2" t="s">
        <v>303</v>
      </c>
      <c r="G60" s="2" t="s">
        <v>329</v>
      </c>
      <c r="H60" s="2" t="s">
        <v>32</v>
      </c>
      <c r="I60" s="2" t="s">
        <v>167</v>
      </c>
      <c r="J60" s="2" t="s">
        <v>187</v>
      </c>
      <c r="K60" s="2" cm="1">
        <f t="array" ref="K60">SUM(VALUE(_xlfn.TEXTSPLIT(J60, ",")))</f>
        <v>1360</v>
      </c>
      <c r="L60" s="2">
        <f t="shared" si="5"/>
        <v>11913600000</v>
      </c>
      <c r="M60" s="2">
        <f>Sheet1!$D$5</f>
        <v>3.6999999999999999E-4</v>
      </c>
      <c r="N60" s="2">
        <f t="shared" si="6"/>
        <v>220.40160000000003</v>
      </c>
      <c r="O60" s="2">
        <f>Sheet1!$D$2</f>
        <v>1.9000000000000001E-4</v>
      </c>
      <c r="P60" s="2">
        <f t="shared" si="2"/>
        <v>113.17919999999999</v>
      </c>
      <c r="Q60" s="2">
        <f>Sheet1!$D$3</f>
        <v>7.1999999999999998E-3</v>
      </c>
      <c r="R60" s="2">
        <f t="shared" si="3"/>
        <v>4288.8959999999997</v>
      </c>
      <c r="S60" s="2">
        <f>Sheet1!$D$4</f>
        <v>4.3E-3</v>
      </c>
      <c r="T60" s="2">
        <f t="shared" si="4"/>
        <v>2561.4240000000004</v>
      </c>
    </row>
    <row r="61" spans="1:20" x14ac:dyDescent="0.3">
      <c r="A61" s="2" t="s">
        <v>178</v>
      </c>
      <c r="B61" s="2" t="s">
        <v>189</v>
      </c>
      <c r="C61" s="2">
        <v>26.476600000000001</v>
      </c>
      <c r="D61" s="2">
        <v>80.241</v>
      </c>
      <c r="E61" s="2" t="s">
        <v>302</v>
      </c>
      <c r="F61" s="2" t="s">
        <v>303</v>
      </c>
      <c r="G61" s="2" t="s">
        <v>326</v>
      </c>
      <c r="H61" s="2" t="s">
        <v>32</v>
      </c>
      <c r="I61" s="2" t="s">
        <v>190</v>
      </c>
      <c r="J61" s="2" t="s">
        <v>191</v>
      </c>
      <c r="K61" s="2" cm="1">
        <f t="array" ref="K61">SUM(VALUE(_xlfn.TEXTSPLIT(J61, ",")))</f>
        <v>870</v>
      </c>
      <c r="L61" s="2">
        <f t="shared" si="5"/>
        <v>7621200000</v>
      </c>
      <c r="M61" s="2">
        <f>Sheet1!$D$5</f>
        <v>3.6999999999999999E-4</v>
      </c>
      <c r="N61" s="2">
        <f t="shared" si="6"/>
        <v>140.9922</v>
      </c>
      <c r="O61" s="2">
        <f>Sheet1!$D$2</f>
        <v>1.9000000000000001E-4</v>
      </c>
      <c r="P61" s="2">
        <f t="shared" si="2"/>
        <v>72.40140000000001</v>
      </c>
      <c r="Q61" s="2">
        <f>Sheet1!$D$3</f>
        <v>7.1999999999999998E-3</v>
      </c>
      <c r="R61" s="2">
        <f t="shared" si="3"/>
        <v>2743.6320000000001</v>
      </c>
      <c r="S61" s="2">
        <f>Sheet1!$D$4</f>
        <v>4.3E-3</v>
      </c>
      <c r="T61" s="2">
        <f t="shared" si="4"/>
        <v>1638.5580000000002</v>
      </c>
    </row>
    <row r="62" spans="1:20" x14ac:dyDescent="0.3">
      <c r="A62" s="2" t="s">
        <v>181</v>
      </c>
      <c r="B62" s="2" t="s">
        <v>195</v>
      </c>
      <c r="C62" s="2">
        <v>29.346979999999999</v>
      </c>
      <c r="D62" s="2">
        <v>75.85754</v>
      </c>
      <c r="E62" s="2" t="s">
        <v>302</v>
      </c>
      <c r="F62" s="2" t="s">
        <v>303</v>
      </c>
      <c r="G62" s="2" t="s">
        <v>329</v>
      </c>
      <c r="H62" s="2" t="s">
        <v>32</v>
      </c>
      <c r="I62" s="2" t="s">
        <v>33</v>
      </c>
      <c r="J62" s="2" t="s">
        <v>46</v>
      </c>
      <c r="K62" s="2" cm="1">
        <f t="array" ref="K62">SUM(VALUE(_xlfn.TEXTSPLIT(J62, ",")))</f>
        <v>1200</v>
      </c>
      <c r="L62" s="2">
        <f t="shared" si="5"/>
        <v>10512000000</v>
      </c>
      <c r="M62" s="2">
        <f>Sheet1!$D$5</f>
        <v>3.6999999999999999E-4</v>
      </c>
      <c r="N62" s="2">
        <f t="shared" si="6"/>
        <v>194.47200000000001</v>
      </c>
      <c r="O62" s="2">
        <f>Sheet1!$D$2</f>
        <v>1.9000000000000001E-4</v>
      </c>
      <c r="P62" s="2">
        <f t="shared" si="2"/>
        <v>99.864000000000004</v>
      </c>
      <c r="Q62" s="2">
        <f>Sheet1!$D$3</f>
        <v>7.1999999999999998E-3</v>
      </c>
      <c r="R62" s="2">
        <f t="shared" si="3"/>
        <v>3784.3199999999997</v>
      </c>
      <c r="S62" s="2">
        <f>Sheet1!$D$4</f>
        <v>4.3E-3</v>
      </c>
      <c r="T62" s="2">
        <f t="shared" si="4"/>
        <v>2260.08</v>
      </c>
    </row>
    <row r="63" spans="1:20" x14ac:dyDescent="0.3">
      <c r="A63" s="2" t="s">
        <v>185</v>
      </c>
      <c r="B63" s="2" t="s">
        <v>197</v>
      </c>
      <c r="C63" s="2">
        <v>30.558959999999999</v>
      </c>
      <c r="D63" s="2">
        <v>76.577590000000001</v>
      </c>
      <c r="E63" s="2" t="s">
        <v>302</v>
      </c>
      <c r="F63" s="2" t="s">
        <v>303</v>
      </c>
      <c r="G63" s="2" t="s">
        <v>330</v>
      </c>
      <c r="H63" s="2" t="s">
        <v>32</v>
      </c>
      <c r="I63" s="2" t="s">
        <v>33</v>
      </c>
      <c r="J63" s="2" t="s">
        <v>198</v>
      </c>
      <c r="K63" s="2" cm="1">
        <f t="array" ref="K63">SUM(VALUE(_xlfn.TEXTSPLIT(J63, ",")))</f>
        <v>1400</v>
      </c>
      <c r="L63" s="2">
        <f t="shared" si="5"/>
        <v>12264000000</v>
      </c>
      <c r="M63" s="2">
        <f>Sheet1!$D$5</f>
        <v>3.6999999999999999E-4</v>
      </c>
      <c r="N63" s="2">
        <f t="shared" si="6"/>
        <v>226.88400000000001</v>
      </c>
      <c r="O63" s="2">
        <f>Sheet1!$D$2</f>
        <v>1.9000000000000001E-4</v>
      </c>
      <c r="P63" s="2">
        <f t="shared" si="2"/>
        <v>116.508</v>
      </c>
      <c r="Q63" s="2">
        <f>Sheet1!$D$3</f>
        <v>7.1999999999999998E-3</v>
      </c>
      <c r="R63" s="2">
        <f t="shared" si="3"/>
        <v>4415.04</v>
      </c>
      <c r="S63" s="2">
        <f>Sheet1!$D$4</f>
        <v>4.3E-3</v>
      </c>
      <c r="T63" s="2">
        <f t="shared" si="4"/>
        <v>2636.76</v>
      </c>
    </row>
    <row r="64" spans="1:20" x14ac:dyDescent="0.3">
      <c r="A64" s="2" t="s">
        <v>188</v>
      </c>
      <c r="B64" s="2" t="s">
        <v>200</v>
      </c>
      <c r="C64" s="2">
        <v>24.181090000000001</v>
      </c>
      <c r="D64" s="2">
        <v>82.79128</v>
      </c>
      <c r="E64" s="2" t="s">
        <v>325</v>
      </c>
      <c r="F64" s="2" t="s">
        <v>303</v>
      </c>
      <c r="G64" s="2" t="s">
        <v>326</v>
      </c>
      <c r="H64" s="2" t="s">
        <v>32</v>
      </c>
      <c r="I64" s="2" t="s">
        <v>201</v>
      </c>
      <c r="J64" s="2" t="s">
        <v>202</v>
      </c>
      <c r="K64" s="2" cm="1">
        <f t="array" ref="K64">SUM(VALUE(_xlfn.TEXTSPLIT(J64, ",")))</f>
        <v>725.7</v>
      </c>
      <c r="L64" s="2">
        <f t="shared" ref="L64:L108" si="7">(K64*1000*24*365)</f>
        <v>6357132000</v>
      </c>
      <c r="M64" s="2">
        <f>Sheet1!$D$5</f>
        <v>3.6999999999999999E-4</v>
      </c>
      <c r="N64" s="2">
        <f t="shared" ref="N64:N108" si="8">((L64*M64)/1000)*0.05</f>
        <v>117.606942</v>
      </c>
      <c r="O64" s="2">
        <f>Sheet1!$D$2</f>
        <v>1.9000000000000001E-4</v>
      </c>
      <c r="P64" s="2">
        <f t="shared" ref="P64:P107" si="9">((L64*O64)/1000)*0.05</f>
        <v>60.392754000000004</v>
      </c>
      <c r="Q64" s="2">
        <f>Sheet1!$D$3</f>
        <v>7.1999999999999998E-3</v>
      </c>
      <c r="R64" s="2">
        <f t="shared" ref="R64:R107" si="10">((L64*Q64)/1000)*0.05</f>
        <v>2288.5675200000001</v>
      </c>
      <c r="S64" s="2">
        <f>Sheet1!$D$4</f>
        <v>4.3E-3</v>
      </c>
      <c r="T64" s="2">
        <f t="shared" ref="T64:T107" si="11">((S64*L64)/1000)*0.05</f>
        <v>1366.7833800000001</v>
      </c>
    </row>
    <row r="65" spans="1:20" x14ac:dyDescent="0.3">
      <c r="A65" s="2" t="s">
        <v>192</v>
      </c>
      <c r="B65" s="2" t="s">
        <v>204</v>
      </c>
      <c r="C65" s="2">
        <v>24.027000000000001</v>
      </c>
      <c r="D65" s="2">
        <v>82.791499999999999</v>
      </c>
      <c r="E65" s="2" t="s">
        <v>302</v>
      </c>
      <c r="F65" s="2" t="s">
        <v>303</v>
      </c>
      <c r="G65" s="2" t="s">
        <v>326</v>
      </c>
      <c r="H65" s="2" t="s">
        <v>32</v>
      </c>
      <c r="I65" s="2" t="s">
        <v>112</v>
      </c>
      <c r="J65" s="2" t="s">
        <v>205</v>
      </c>
      <c r="K65" s="2" cm="1">
        <f t="array" ref="K65">SUM(VALUE(_xlfn.TEXTSPLIT(J65, ",")))</f>
        <v>3000</v>
      </c>
      <c r="L65" s="2">
        <f t="shared" si="7"/>
        <v>26280000000</v>
      </c>
      <c r="M65" s="2">
        <f>Sheet1!$D$5</f>
        <v>3.6999999999999999E-4</v>
      </c>
      <c r="N65" s="2">
        <f t="shared" si="8"/>
        <v>486.18000000000006</v>
      </c>
      <c r="O65" s="2">
        <f>Sheet1!$D$2</f>
        <v>1.9000000000000001E-4</v>
      </c>
      <c r="P65" s="2">
        <f t="shared" si="9"/>
        <v>249.66</v>
      </c>
      <c r="Q65" s="2">
        <f>Sheet1!$D$3</f>
        <v>7.1999999999999998E-3</v>
      </c>
      <c r="R65" s="2">
        <f t="shared" si="10"/>
        <v>9460.8000000000011</v>
      </c>
      <c r="S65" s="2">
        <f>Sheet1!$D$4</f>
        <v>4.3E-3</v>
      </c>
      <c r="T65" s="2">
        <f t="shared" si="11"/>
        <v>5650.2000000000007</v>
      </c>
    </row>
    <row r="66" spans="1:20" x14ac:dyDescent="0.3">
      <c r="A66" s="2" t="s">
        <v>194</v>
      </c>
      <c r="B66" s="2" t="s">
        <v>207</v>
      </c>
      <c r="C66" s="2">
        <v>27.81945</v>
      </c>
      <c r="D66" s="2">
        <v>79.937160000000006</v>
      </c>
      <c r="E66" s="2" t="s">
        <v>302</v>
      </c>
      <c r="F66" s="2" t="s">
        <v>303</v>
      </c>
      <c r="G66" s="2" t="s">
        <v>326</v>
      </c>
      <c r="H66" s="2" t="s">
        <v>32</v>
      </c>
      <c r="I66" s="2" t="s">
        <v>76</v>
      </c>
      <c r="J66" s="2" t="s">
        <v>208</v>
      </c>
      <c r="K66" s="2" cm="1">
        <f t="array" ref="K66">SUM(VALUE(_xlfn.TEXTSPLIT(J66, ",")))</f>
        <v>1200</v>
      </c>
      <c r="L66" s="2">
        <f t="shared" si="7"/>
        <v>10512000000</v>
      </c>
      <c r="M66" s="2">
        <f>Sheet1!$D$5</f>
        <v>3.6999999999999999E-4</v>
      </c>
      <c r="N66" s="2">
        <f t="shared" si="8"/>
        <v>194.47200000000001</v>
      </c>
      <c r="O66" s="2">
        <f>Sheet1!$D$2</f>
        <v>1.9000000000000001E-4</v>
      </c>
      <c r="P66" s="2">
        <f t="shared" si="9"/>
        <v>99.864000000000004</v>
      </c>
      <c r="Q66" s="2">
        <f>Sheet1!$D$3</f>
        <v>7.1999999999999998E-3</v>
      </c>
      <c r="R66" s="2">
        <f t="shared" si="10"/>
        <v>3784.3199999999997</v>
      </c>
      <c r="S66" s="2">
        <f>Sheet1!$D$4</f>
        <v>4.3E-3</v>
      </c>
      <c r="T66" s="2">
        <f t="shared" si="11"/>
        <v>2260.08</v>
      </c>
    </row>
    <row r="67" spans="1:20" x14ac:dyDescent="0.3">
      <c r="A67" s="2" t="s">
        <v>196</v>
      </c>
      <c r="B67" s="2" t="s">
        <v>210</v>
      </c>
      <c r="C67" s="2">
        <v>24.36881</v>
      </c>
      <c r="D67" s="2">
        <v>88.103999999999999</v>
      </c>
      <c r="E67" s="2" t="s">
        <v>302</v>
      </c>
      <c r="F67" s="2" t="s">
        <v>303</v>
      </c>
      <c r="G67" s="2" t="s">
        <v>327</v>
      </c>
      <c r="H67" s="2" t="s">
        <v>32</v>
      </c>
      <c r="I67" s="2" t="s">
        <v>211</v>
      </c>
      <c r="J67" s="2" t="s">
        <v>212</v>
      </c>
      <c r="K67" s="2" cm="1">
        <f t="array" ref="K67">SUM(VALUE(_xlfn.TEXTSPLIT(J67, ",")))</f>
        <v>2260</v>
      </c>
      <c r="L67" s="2">
        <f t="shared" si="7"/>
        <v>19797600000</v>
      </c>
      <c r="M67" s="2">
        <f>Sheet1!$D$5</f>
        <v>3.6999999999999999E-4</v>
      </c>
      <c r="N67" s="2">
        <f t="shared" si="8"/>
        <v>366.25560000000002</v>
      </c>
      <c r="O67" s="2">
        <f>Sheet1!$D$2</f>
        <v>1.9000000000000001E-4</v>
      </c>
      <c r="P67" s="2">
        <f t="shared" si="9"/>
        <v>188.0772</v>
      </c>
      <c r="Q67" s="2">
        <f>Sheet1!$D$3</f>
        <v>7.1999999999999998E-3</v>
      </c>
      <c r="R67" s="2">
        <f t="shared" si="10"/>
        <v>7127.1360000000004</v>
      </c>
      <c r="S67" s="2">
        <f>Sheet1!$D$4</f>
        <v>4.3E-3</v>
      </c>
      <c r="T67" s="2">
        <f t="shared" si="11"/>
        <v>4256.4839999999995</v>
      </c>
    </row>
    <row r="68" spans="1:20" x14ac:dyDescent="0.3">
      <c r="A68" s="2" t="s">
        <v>199</v>
      </c>
      <c r="B68" s="2" t="s">
        <v>214</v>
      </c>
      <c r="C68" s="2">
        <v>24.104209999999998</v>
      </c>
      <c r="D68" s="2">
        <v>82.706360000000004</v>
      </c>
      <c r="E68" s="2" t="s">
        <v>302</v>
      </c>
      <c r="F68" s="2" t="s">
        <v>303</v>
      </c>
      <c r="G68" s="2" t="s">
        <v>326</v>
      </c>
      <c r="H68" s="2" t="s">
        <v>32</v>
      </c>
      <c r="I68" s="2" t="s">
        <v>215</v>
      </c>
      <c r="J68" s="2" t="s">
        <v>216</v>
      </c>
      <c r="K68" s="2" cm="1">
        <f t="array" ref="K68">SUM(VALUE(_xlfn.TEXTSPLIT(J68, ",")))</f>
        <v>3600</v>
      </c>
      <c r="L68" s="2">
        <f t="shared" si="7"/>
        <v>31536000000</v>
      </c>
      <c r="M68" s="2">
        <f>Sheet1!$D$5</f>
        <v>3.6999999999999999E-4</v>
      </c>
      <c r="N68" s="2">
        <f t="shared" si="8"/>
        <v>583.41600000000005</v>
      </c>
      <c r="O68" s="2">
        <f>Sheet1!$D$2</f>
        <v>1.9000000000000001E-4</v>
      </c>
      <c r="P68" s="2">
        <f t="shared" si="9"/>
        <v>299.59200000000004</v>
      </c>
      <c r="Q68" s="2">
        <f>Sheet1!$D$3</f>
        <v>7.1999999999999998E-3</v>
      </c>
      <c r="R68" s="2">
        <f t="shared" si="10"/>
        <v>11352.960000000001</v>
      </c>
      <c r="S68" s="2">
        <f>Sheet1!$D$4</f>
        <v>4.3E-3</v>
      </c>
      <c r="T68" s="2">
        <f t="shared" si="11"/>
        <v>6780.24</v>
      </c>
    </row>
    <row r="69" spans="1:20" x14ac:dyDescent="0.3">
      <c r="A69" s="2" t="s">
        <v>203</v>
      </c>
      <c r="B69" s="2" t="s">
        <v>218</v>
      </c>
      <c r="C69" s="2">
        <v>22.549589999999998</v>
      </c>
      <c r="D69" s="2">
        <v>88.291510000000002</v>
      </c>
      <c r="E69" s="2" t="s">
        <v>302</v>
      </c>
      <c r="F69" s="2" t="s">
        <v>303</v>
      </c>
      <c r="G69" s="2" t="s">
        <v>327</v>
      </c>
      <c r="H69" s="2" t="s">
        <v>32</v>
      </c>
      <c r="I69" s="2" t="s">
        <v>33</v>
      </c>
      <c r="J69" s="2" t="s">
        <v>193</v>
      </c>
      <c r="K69" s="2" cm="1">
        <f t="array" ref="K69">SUM(VALUE(_xlfn.TEXTSPLIT(J69, ",")))</f>
        <v>135</v>
      </c>
      <c r="L69" s="2">
        <f t="shared" si="7"/>
        <v>1182600000</v>
      </c>
      <c r="M69" s="2">
        <f>Sheet1!$D$5</f>
        <v>3.6999999999999999E-4</v>
      </c>
      <c r="N69" s="2">
        <f t="shared" si="8"/>
        <v>21.878100000000003</v>
      </c>
      <c r="O69" s="2">
        <f>Sheet1!$D$2</f>
        <v>1.9000000000000001E-4</v>
      </c>
      <c r="P69" s="2">
        <f t="shared" si="9"/>
        <v>11.2347</v>
      </c>
      <c r="Q69" s="2">
        <f>Sheet1!$D$3</f>
        <v>7.1999999999999998E-3</v>
      </c>
      <c r="R69" s="2">
        <f t="shared" si="10"/>
        <v>425.73599999999999</v>
      </c>
      <c r="S69" s="2">
        <f>Sheet1!$D$4</f>
        <v>4.3E-3</v>
      </c>
      <c r="T69" s="2">
        <f t="shared" si="11"/>
        <v>254.25900000000001</v>
      </c>
    </row>
    <row r="70" spans="1:20" x14ac:dyDescent="0.3">
      <c r="A70" s="2" t="s">
        <v>206</v>
      </c>
      <c r="B70" s="2" t="s">
        <v>220</v>
      </c>
      <c r="C70" s="2">
        <v>29.16112</v>
      </c>
      <c r="D70" s="2">
        <v>74.019159999999999</v>
      </c>
      <c r="E70" s="2" t="s">
        <v>302</v>
      </c>
      <c r="F70" s="2" t="s">
        <v>303</v>
      </c>
      <c r="G70" s="2" t="s">
        <v>331</v>
      </c>
      <c r="H70" s="2" t="s">
        <v>32</v>
      </c>
      <c r="I70" s="2" t="s">
        <v>167</v>
      </c>
      <c r="J70" s="2" t="s">
        <v>221</v>
      </c>
      <c r="K70" s="2" cm="1">
        <f t="array" ref="K70">SUM(VALUE(_xlfn.TEXTSPLIT(J70, ",")))</f>
        <v>2820</v>
      </c>
      <c r="L70" s="2">
        <f t="shared" si="7"/>
        <v>24703200000</v>
      </c>
      <c r="M70" s="2">
        <f>Sheet1!$D$5</f>
        <v>3.6999999999999999E-4</v>
      </c>
      <c r="N70" s="2">
        <f t="shared" si="8"/>
        <v>457.00919999999996</v>
      </c>
      <c r="O70" s="2">
        <f>Sheet1!$D$2</f>
        <v>1.9000000000000001E-4</v>
      </c>
      <c r="P70" s="2">
        <f t="shared" si="9"/>
        <v>234.68040000000002</v>
      </c>
      <c r="Q70" s="2">
        <f>Sheet1!$D$3</f>
        <v>7.1999999999999998E-3</v>
      </c>
      <c r="R70" s="2">
        <f t="shared" si="10"/>
        <v>8893.152</v>
      </c>
      <c r="S70" s="2">
        <f>Sheet1!$D$4</f>
        <v>4.3E-3</v>
      </c>
      <c r="T70" s="2">
        <f t="shared" si="11"/>
        <v>5311.1880000000001</v>
      </c>
    </row>
    <row r="71" spans="1:20" x14ac:dyDescent="0.3">
      <c r="A71" s="2" t="s">
        <v>209</v>
      </c>
      <c r="B71" s="2" t="s">
        <v>223</v>
      </c>
      <c r="C71" s="2">
        <v>29.924579999999999</v>
      </c>
      <c r="D71" s="2">
        <v>75.238929999999996</v>
      </c>
      <c r="E71" s="2" t="s">
        <v>302</v>
      </c>
      <c r="F71" s="2" t="s">
        <v>303</v>
      </c>
      <c r="G71" s="2" t="s">
        <v>330</v>
      </c>
      <c r="H71" s="2" t="s">
        <v>32</v>
      </c>
      <c r="I71" s="2" t="s">
        <v>17</v>
      </c>
      <c r="J71" s="2" t="s">
        <v>73</v>
      </c>
      <c r="K71" s="2" cm="1">
        <f t="array" ref="K71">SUM(VALUE(_xlfn.TEXTSPLIT(J71, ",")))</f>
        <v>1980</v>
      </c>
      <c r="L71" s="2">
        <f t="shared" si="7"/>
        <v>17344800000</v>
      </c>
      <c r="M71" s="2">
        <f>Sheet1!$D$5</f>
        <v>3.6999999999999999E-4</v>
      </c>
      <c r="N71" s="2">
        <f t="shared" si="8"/>
        <v>320.87880000000001</v>
      </c>
      <c r="O71" s="2">
        <f>Sheet1!$D$2</f>
        <v>1.9000000000000001E-4</v>
      </c>
      <c r="P71" s="2">
        <f t="shared" si="9"/>
        <v>164.77560000000003</v>
      </c>
      <c r="Q71" s="2">
        <f>Sheet1!$D$3</f>
        <v>7.1999999999999998E-3</v>
      </c>
      <c r="R71" s="2">
        <f t="shared" si="10"/>
        <v>6244.1280000000006</v>
      </c>
      <c r="S71" s="2">
        <f>Sheet1!$D$4</f>
        <v>4.3E-3</v>
      </c>
      <c r="T71" s="2">
        <f t="shared" si="11"/>
        <v>3729.1320000000001</v>
      </c>
    </row>
    <row r="72" spans="1:20" x14ac:dyDescent="0.3">
      <c r="A72" s="2" t="s">
        <v>213</v>
      </c>
      <c r="B72" s="2" t="s">
        <v>225</v>
      </c>
      <c r="C72" s="2">
        <v>26.589479999999998</v>
      </c>
      <c r="D72" s="2">
        <v>82.601240000000004</v>
      </c>
      <c r="E72" s="2" t="s">
        <v>302</v>
      </c>
      <c r="F72" s="2" t="s">
        <v>303</v>
      </c>
      <c r="G72" s="2" t="s">
        <v>326</v>
      </c>
      <c r="H72" s="2" t="s">
        <v>32</v>
      </c>
      <c r="I72" s="2" t="s">
        <v>112</v>
      </c>
      <c r="J72" s="2" t="s">
        <v>226</v>
      </c>
      <c r="K72" s="2" cm="1">
        <f t="array" ref="K72">SUM(VALUE(_xlfn.TEXTSPLIT(J72, ",")))</f>
        <v>1760</v>
      </c>
      <c r="L72" s="2">
        <f t="shared" si="7"/>
        <v>15417600000</v>
      </c>
      <c r="M72" s="2">
        <f>Sheet1!$D$5</f>
        <v>3.6999999999999999E-4</v>
      </c>
      <c r="N72" s="2">
        <f t="shared" si="8"/>
        <v>285.22559999999999</v>
      </c>
      <c r="O72" s="2">
        <f>Sheet1!$D$2</f>
        <v>1.9000000000000001E-4</v>
      </c>
      <c r="P72" s="2">
        <f t="shared" si="9"/>
        <v>146.46720000000002</v>
      </c>
      <c r="Q72" s="2">
        <f>Sheet1!$D$3</f>
        <v>7.1999999999999998E-3</v>
      </c>
      <c r="R72" s="2">
        <f t="shared" si="10"/>
        <v>5550.3360000000002</v>
      </c>
      <c r="S72" s="2">
        <f>Sheet1!$D$4</f>
        <v>4.3E-3</v>
      </c>
      <c r="T72" s="2">
        <f t="shared" si="11"/>
        <v>3314.7839999999997</v>
      </c>
    </row>
    <row r="73" spans="1:20" x14ac:dyDescent="0.3">
      <c r="A73" s="2" t="s">
        <v>217</v>
      </c>
      <c r="B73" s="2" t="s">
        <v>229</v>
      </c>
      <c r="C73" s="2">
        <v>22.73197</v>
      </c>
      <c r="D73" s="2">
        <v>88.370310000000003</v>
      </c>
      <c r="E73" s="2" t="s">
        <v>302</v>
      </c>
      <c r="F73" s="2" t="s">
        <v>303</v>
      </c>
      <c r="G73" s="2" t="s">
        <v>327</v>
      </c>
      <c r="H73" s="2" t="s">
        <v>32</v>
      </c>
      <c r="I73" s="2" t="s">
        <v>76</v>
      </c>
      <c r="J73" s="2" t="s">
        <v>100</v>
      </c>
      <c r="K73" s="2" cm="1">
        <f t="array" ref="K73">SUM(VALUE(_xlfn.TEXTSPLIT(J73, ",")))</f>
        <v>240</v>
      </c>
      <c r="L73" s="2">
        <f t="shared" si="7"/>
        <v>2102400000</v>
      </c>
      <c r="M73" s="2">
        <f>Sheet1!$D$5</f>
        <v>3.6999999999999999E-4</v>
      </c>
      <c r="N73" s="2">
        <f t="shared" si="8"/>
        <v>38.894400000000005</v>
      </c>
      <c r="O73" s="2">
        <f>Sheet1!$D$2</f>
        <v>1.9000000000000001E-4</v>
      </c>
      <c r="P73" s="2">
        <f t="shared" si="9"/>
        <v>19.972800000000003</v>
      </c>
      <c r="Q73" s="2">
        <f>Sheet1!$D$3</f>
        <v>7.1999999999999998E-3</v>
      </c>
      <c r="R73" s="2">
        <f t="shared" si="10"/>
        <v>756.86400000000003</v>
      </c>
      <c r="S73" s="2">
        <f>Sheet1!$D$4</f>
        <v>4.3E-3</v>
      </c>
      <c r="T73" s="2">
        <f t="shared" si="11"/>
        <v>452.01600000000002</v>
      </c>
    </row>
    <row r="74" spans="1:20" x14ac:dyDescent="0.3">
      <c r="A74" s="2" t="s">
        <v>219</v>
      </c>
      <c r="B74" s="2" t="s">
        <v>231</v>
      </c>
      <c r="C74" s="2">
        <v>27.345514529999999</v>
      </c>
      <c r="D74" s="2">
        <v>82.316545259999998</v>
      </c>
      <c r="E74" s="2" t="s">
        <v>302</v>
      </c>
      <c r="F74" s="2" t="s">
        <v>303</v>
      </c>
      <c r="G74" s="2" t="s">
        <v>326</v>
      </c>
      <c r="H74" s="2" t="s">
        <v>32</v>
      </c>
      <c r="I74" s="2" t="s">
        <v>33</v>
      </c>
      <c r="J74" s="2" t="s">
        <v>85</v>
      </c>
      <c r="K74" s="2" cm="1">
        <f t="array" ref="K74">SUM(VALUE(_xlfn.TEXTSPLIT(J74, ",")))</f>
        <v>90</v>
      </c>
      <c r="L74" s="2">
        <f t="shared" si="7"/>
        <v>788400000</v>
      </c>
      <c r="M74" s="2">
        <f>Sheet1!$D$5</f>
        <v>3.6999999999999999E-4</v>
      </c>
      <c r="N74" s="2">
        <f t="shared" si="8"/>
        <v>14.585400000000002</v>
      </c>
      <c r="O74" s="2">
        <f>Sheet1!$D$2</f>
        <v>1.9000000000000001E-4</v>
      </c>
      <c r="P74" s="2">
        <f t="shared" si="9"/>
        <v>7.4897999999999998</v>
      </c>
      <c r="Q74" s="2">
        <f>Sheet1!$D$3</f>
        <v>7.1999999999999998E-3</v>
      </c>
      <c r="R74" s="2">
        <f t="shared" si="10"/>
        <v>283.82400000000001</v>
      </c>
      <c r="S74" s="2">
        <f>Sheet1!$D$4</f>
        <v>4.3E-3</v>
      </c>
      <c r="T74" s="2">
        <f t="shared" si="11"/>
        <v>169.506</v>
      </c>
    </row>
    <row r="75" spans="1:20" x14ac:dyDescent="0.3">
      <c r="A75" s="2" t="s">
        <v>222</v>
      </c>
      <c r="B75" s="2" t="s">
        <v>233</v>
      </c>
      <c r="C75" s="2">
        <v>24.801699200000002</v>
      </c>
      <c r="D75" s="2">
        <v>84.596620180000002</v>
      </c>
      <c r="E75" s="2" t="s">
        <v>325</v>
      </c>
      <c r="F75" s="2" t="s">
        <v>303</v>
      </c>
      <c r="G75" s="2" t="s">
        <v>328</v>
      </c>
      <c r="H75" s="2" t="s">
        <v>32</v>
      </c>
      <c r="I75" s="2" t="s">
        <v>52</v>
      </c>
      <c r="J75" s="2" t="s">
        <v>22</v>
      </c>
      <c r="K75" s="2" cm="1">
        <f t="array" ref="K75">SUM(VALUE(_xlfn.TEXTSPLIT(J75, ",")))</f>
        <v>1320</v>
      </c>
      <c r="L75" s="2">
        <f t="shared" si="7"/>
        <v>11563200000</v>
      </c>
      <c r="M75" s="2">
        <f>Sheet1!$D$5</f>
        <v>3.6999999999999999E-4</v>
      </c>
      <c r="N75" s="2">
        <f t="shared" si="8"/>
        <v>213.91920000000002</v>
      </c>
      <c r="O75" s="2">
        <f>Sheet1!$D$2</f>
        <v>1.9000000000000001E-4</v>
      </c>
      <c r="P75" s="2">
        <f t="shared" si="9"/>
        <v>109.85039999999999</v>
      </c>
      <c r="Q75" s="2">
        <f>Sheet1!$D$3</f>
        <v>7.1999999999999998E-3</v>
      </c>
      <c r="R75" s="2">
        <f t="shared" si="10"/>
        <v>4162.7519999999995</v>
      </c>
      <c r="S75" s="2">
        <f>Sheet1!$D$4</f>
        <v>4.3E-3</v>
      </c>
      <c r="T75" s="2">
        <f t="shared" si="11"/>
        <v>2486.0880000000002</v>
      </c>
    </row>
    <row r="76" spans="1:20" x14ac:dyDescent="0.3">
      <c r="A76" s="2" t="s">
        <v>224</v>
      </c>
      <c r="B76" s="2" t="s">
        <v>235</v>
      </c>
      <c r="C76" s="2">
        <v>31.384139999999999</v>
      </c>
      <c r="D76" s="2">
        <v>75.146500000000003</v>
      </c>
      <c r="E76" s="2" t="s">
        <v>302</v>
      </c>
      <c r="F76" s="2" t="s">
        <v>303</v>
      </c>
      <c r="G76" s="2" t="s">
        <v>330</v>
      </c>
      <c r="H76" s="2" t="s">
        <v>32</v>
      </c>
      <c r="I76" s="2" t="s">
        <v>55</v>
      </c>
      <c r="J76" s="2">
        <v>300</v>
      </c>
      <c r="K76" s="2" cm="1">
        <f t="array" ref="K76">SUM(VALUE(_xlfn.TEXTSPLIT(J76, ",")))</f>
        <v>300</v>
      </c>
      <c r="L76" s="2">
        <f t="shared" si="7"/>
        <v>2628000000</v>
      </c>
      <c r="M76" s="2">
        <f>Sheet1!$D$5</f>
        <v>3.6999999999999999E-4</v>
      </c>
      <c r="N76" s="2">
        <f t="shared" si="8"/>
        <v>48.618000000000002</v>
      </c>
      <c r="O76" s="2">
        <f>Sheet1!$D$2</f>
        <v>1.9000000000000001E-4</v>
      </c>
      <c r="P76" s="2">
        <f t="shared" si="9"/>
        <v>24.966000000000001</v>
      </c>
      <c r="Q76" s="2">
        <f>Sheet1!$D$3</f>
        <v>7.1999999999999998E-3</v>
      </c>
      <c r="R76" s="2">
        <f t="shared" si="10"/>
        <v>946.07999999999993</v>
      </c>
      <c r="S76" s="2">
        <f>Sheet1!$D$4</f>
        <v>4.3E-3</v>
      </c>
      <c r="T76" s="2">
        <f t="shared" si="11"/>
        <v>565.02</v>
      </c>
    </row>
    <row r="77" spans="1:20" x14ac:dyDescent="0.3">
      <c r="A77" s="2" t="s">
        <v>227</v>
      </c>
      <c r="B77" s="2" t="s">
        <v>237</v>
      </c>
      <c r="C77" s="2">
        <v>23.521149999999999</v>
      </c>
      <c r="D77" s="2">
        <v>87.302310000000006</v>
      </c>
      <c r="E77" s="2" t="s">
        <v>302</v>
      </c>
      <c r="F77" s="2" t="s">
        <v>303</v>
      </c>
      <c r="G77" s="2" t="s">
        <v>327</v>
      </c>
      <c r="H77" s="2" t="s">
        <v>32</v>
      </c>
      <c r="I77" s="2" t="s">
        <v>33</v>
      </c>
      <c r="J77" s="2" t="s">
        <v>103</v>
      </c>
      <c r="K77" s="2" cm="1">
        <f t="array" ref="K77">SUM(VALUE(_xlfn.TEXTSPLIT(J77, ",")))</f>
        <v>600</v>
      </c>
      <c r="L77" s="2">
        <f t="shared" si="7"/>
        <v>5256000000</v>
      </c>
      <c r="M77" s="2">
        <f>Sheet1!$D$5</f>
        <v>3.6999999999999999E-4</v>
      </c>
      <c r="N77" s="2">
        <f t="shared" si="8"/>
        <v>97.236000000000004</v>
      </c>
      <c r="O77" s="2">
        <f>Sheet1!$D$2</f>
        <v>1.9000000000000001E-4</v>
      </c>
      <c r="P77" s="2">
        <f t="shared" si="9"/>
        <v>49.932000000000002</v>
      </c>
      <c r="Q77" s="2">
        <f>Sheet1!$D$3</f>
        <v>7.1999999999999998E-3</v>
      </c>
      <c r="R77" s="2">
        <f t="shared" si="10"/>
        <v>1892.1599999999999</v>
      </c>
      <c r="S77" s="2">
        <f>Sheet1!$D$4</f>
        <v>4.3E-3</v>
      </c>
      <c r="T77" s="2">
        <f t="shared" si="11"/>
        <v>1130.04</v>
      </c>
    </row>
    <row r="78" spans="1:20" x14ac:dyDescent="0.3">
      <c r="A78" s="2" t="s">
        <v>228</v>
      </c>
      <c r="B78" s="2" t="s">
        <v>241</v>
      </c>
      <c r="C78" s="2">
        <v>22.060459999999999</v>
      </c>
      <c r="D78" s="2">
        <v>88.109750000000005</v>
      </c>
      <c r="E78" s="2" t="s">
        <v>325</v>
      </c>
      <c r="F78" s="2" t="s">
        <v>303</v>
      </c>
      <c r="G78" s="2" t="s">
        <v>327</v>
      </c>
      <c r="H78" s="2" t="s">
        <v>32</v>
      </c>
      <c r="I78" s="2" t="s">
        <v>33</v>
      </c>
      <c r="J78" s="2" t="s">
        <v>103</v>
      </c>
      <c r="K78" s="2" cm="1">
        <f t="array" ref="K78">SUM(VALUE(_xlfn.TEXTSPLIT(J78, ",")))</f>
        <v>600</v>
      </c>
      <c r="L78" s="2">
        <f t="shared" si="7"/>
        <v>5256000000</v>
      </c>
      <c r="M78" s="2">
        <f>Sheet1!$D$5</f>
        <v>3.6999999999999999E-4</v>
      </c>
      <c r="N78" s="2">
        <f t="shared" si="8"/>
        <v>97.236000000000004</v>
      </c>
      <c r="O78" s="2">
        <f>Sheet1!$D$2</f>
        <v>1.9000000000000001E-4</v>
      </c>
      <c r="P78" s="2">
        <f t="shared" si="9"/>
        <v>49.932000000000002</v>
      </c>
      <c r="Q78" s="2">
        <f>Sheet1!$D$3</f>
        <v>7.1999999999999998E-3</v>
      </c>
      <c r="R78" s="2">
        <f t="shared" si="10"/>
        <v>1892.1599999999999</v>
      </c>
      <c r="S78" s="2">
        <f>Sheet1!$D$4</f>
        <v>4.3E-3</v>
      </c>
      <c r="T78" s="2">
        <f t="shared" si="11"/>
        <v>1130.04</v>
      </c>
    </row>
    <row r="79" spans="1:20" x14ac:dyDescent="0.3">
      <c r="A79" s="2" t="s">
        <v>230</v>
      </c>
      <c r="B79" s="2" t="s">
        <v>242</v>
      </c>
      <c r="C79" s="2">
        <v>28.017499999999998</v>
      </c>
      <c r="D79" s="2">
        <v>78.13</v>
      </c>
      <c r="E79" s="2" t="s">
        <v>325</v>
      </c>
      <c r="F79" s="2" t="s">
        <v>303</v>
      </c>
      <c r="G79" s="2" t="s">
        <v>326</v>
      </c>
      <c r="H79" s="2" t="s">
        <v>32</v>
      </c>
      <c r="I79" s="2" t="s">
        <v>17</v>
      </c>
      <c r="J79" s="2" t="s">
        <v>243</v>
      </c>
      <c r="K79" s="2" cm="1">
        <f t="array" ref="K79">SUM(VALUE(_xlfn.TEXTSPLIT(J79, ",")))</f>
        <v>1020</v>
      </c>
      <c r="L79" s="2">
        <f t="shared" si="7"/>
        <v>8935200000</v>
      </c>
      <c r="M79" s="2">
        <f>Sheet1!$D$5</f>
        <v>3.6999999999999999E-4</v>
      </c>
      <c r="N79" s="2">
        <f t="shared" si="8"/>
        <v>165.30119999999999</v>
      </c>
      <c r="O79" s="2">
        <f>Sheet1!$D$2</f>
        <v>1.9000000000000001E-4</v>
      </c>
      <c r="P79" s="2">
        <f t="shared" si="9"/>
        <v>84.884400000000014</v>
      </c>
      <c r="Q79" s="2">
        <f>Sheet1!$D$3</f>
        <v>7.1999999999999998E-3</v>
      </c>
      <c r="R79" s="2">
        <f t="shared" si="10"/>
        <v>3216.6720000000005</v>
      </c>
      <c r="S79" s="2">
        <f>Sheet1!$D$4</f>
        <v>4.3E-3</v>
      </c>
      <c r="T79" s="2">
        <f t="shared" si="11"/>
        <v>1921.0680000000002</v>
      </c>
    </row>
    <row r="80" spans="1:20" x14ac:dyDescent="0.3">
      <c r="A80" s="2" t="s">
        <v>232</v>
      </c>
      <c r="B80" s="2" t="s">
        <v>244</v>
      </c>
      <c r="C80" s="2">
        <v>22.41657</v>
      </c>
      <c r="D80" s="2">
        <v>87.870980000000003</v>
      </c>
      <c r="E80" s="2" t="s">
        <v>302</v>
      </c>
      <c r="F80" s="2" t="s">
        <v>303</v>
      </c>
      <c r="G80" s="2" t="s">
        <v>327</v>
      </c>
      <c r="H80" s="2" t="s">
        <v>32</v>
      </c>
      <c r="I80" s="2" t="s">
        <v>55</v>
      </c>
      <c r="J80" s="8" t="s">
        <v>64</v>
      </c>
      <c r="K80" s="2" cm="1">
        <f t="array" ref="K80">SUM(VALUE(_xlfn.TEXTSPLIT(J80, ",")))</f>
        <v>630</v>
      </c>
      <c r="L80" s="2">
        <f t="shared" si="7"/>
        <v>5518800000</v>
      </c>
      <c r="M80" s="2">
        <f>Sheet1!$D$5</f>
        <v>3.6999999999999999E-4</v>
      </c>
      <c r="N80" s="2">
        <f t="shared" si="8"/>
        <v>102.09780000000001</v>
      </c>
      <c r="O80" s="2">
        <f>Sheet1!$D$2</f>
        <v>1.9000000000000001E-4</v>
      </c>
      <c r="P80" s="2">
        <f t="shared" si="9"/>
        <v>52.428599999999996</v>
      </c>
      <c r="Q80" s="2">
        <f>Sheet1!$D$3</f>
        <v>7.1999999999999998E-3</v>
      </c>
      <c r="R80" s="2">
        <f t="shared" si="10"/>
        <v>1986.768</v>
      </c>
      <c r="S80" s="2">
        <f>Sheet1!$D$4</f>
        <v>4.3E-3</v>
      </c>
      <c r="T80" s="2">
        <f t="shared" si="11"/>
        <v>1186.5420000000001</v>
      </c>
    </row>
    <row r="81" spans="1:20" x14ac:dyDescent="0.3">
      <c r="A81" s="2" t="s">
        <v>234</v>
      </c>
      <c r="B81" s="2" t="s">
        <v>245</v>
      </c>
      <c r="C81" s="2">
        <v>25.136579999999999</v>
      </c>
      <c r="D81" s="2">
        <v>82.562200000000004</v>
      </c>
      <c r="E81" s="2" t="s">
        <v>302</v>
      </c>
      <c r="F81" s="2" t="s">
        <v>303</v>
      </c>
      <c r="G81" s="2" t="s">
        <v>326</v>
      </c>
      <c r="H81" s="2" t="s">
        <v>32</v>
      </c>
      <c r="I81" s="2" t="s">
        <v>55</v>
      </c>
      <c r="J81" s="2">
        <v>45</v>
      </c>
      <c r="K81" s="2" cm="1">
        <f t="array" ref="K81">SUM(VALUE(_xlfn.TEXTSPLIT(J81, ",")))</f>
        <v>45</v>
      </c>
      <c r="L81" s="2">
        <f t="shared" si="7"/>
        <v>394200000</v>
      </c>
      <c r="M81" s="2">
        <f>Sheet1!$D$5</f>
        <v>3.6999999999999999E-4</v>
      </c>
      <c r="N81" s="2">
        <f t="shared" si="8"/>
        <v>7.2927000000000008</v>
      </c>
      <c r="O81" s="2">
        <f>Sheet1!$D$2</f>
        <v>1.9000000000000001E-4</v>
      </c>
      <c r="P81" s="2">
        <f t="shared" si="9"/>
        <v>3.7448999999999999</v>
      </c>
      <c r="Q81" s="2">
        <f>Sheet1!$D$3</f>
        <v>7.1999999999999998E-3</v>
      </c>
      <c r="R81" s="2">
        <f t="shared" si="10"/>
        <v>141.91200000000001</v>
      </c>
      <c r="S81" s="2">
        <f>Sheet1!$D$4</f>
        <v>4.3E-3</v>
      </c>
      <c r="T81" s="2">
        <f t="shared" si="11"/>
        <v>84.753</v>
      </c>
    </row>
    <row r="82" spans="1:20" x14ac:dyDescent="0.3">
      <c r="A82" s="2" t="s">
        <v>236</v>
      </c>
      <c r="B82" s="2" t="s">
        <v>339</v>
      </c>
      <c r="C82">
        <v>25.324010999999999</v>
      </c>
      <c r="D82">
        <v>87.427639999999997</v>
      </c>
      <c r="E82" s="2" t="s">
        <v>302</v>
      </c>
      <c r="F82" s="2" t="s">
        <v>303</v>
      </c>
      <c r="G82" s="2" t="s">
        <v>328</v>
      </c>
      <c r="H82" s="2" t="s">
        <v>32</v>
      </c>
      <c r="I82" s="2" t="s">
        <v>340</v>
      </c>
      <c r="J82" s="2" t="s">
        <v>341</v>
      </c>
      <c r="K82" s="2" cm="1">
        <f t="array" ref="K82">SUM(VALUE(_xlfn.TEXTSPLIT(J82, ",")))</f>
        <v>2400</v>
      </c>
      <c r="L82" s="2">
        <f t="shared" si="7"/>
        <v>21024000000</v>
      </c>
      <c r="M82" s="2">
        <f>Sheet1!$D$5</f>
        <v>3.6999999999999999E-4</v>
      </c>
      <c r="N82" s="2">
        <f t="shared" si="8"/>
        <v>388.94400000000002</v>
      </c>
      <c r="O82" s="2">
        <f>Sheet1!$D$2</f>
        <v>1.9000000000000001E-4</v>
      </c>
      <c r="P82" s="2">
        <f t="shared" si="9"/>
        <v>199.72800000000001</v>
      </c>
      <c r="Q82" s="2">
        <f>Sheet1!$D$3</f>
        <v>7.1999999999999998E-3</v>
      </c>
      <c r="R82" s="2">
        <f t="shared" si="10"/>
        <v>7568.6399999999994</v>
      </c>
      <c r="S82" s="2">
        <f>Sheet1!$D$4</f>
        <v>4.3E-3</v>
      </c>
      <c r="T82" s="2">
        <f t="shared" si="11"/>
        <v>4520.16</v>
      </c>
    </row>
    <row r="83" spans="1:20" x14ac:dyDescent="0.3">
      <c r="A83" s="2" t="s">
        <v>238</v>
      </c>
      <c r="B83" s="2" t="s">
        <v>343</v>
      </c>
      <c r="C83">
        <v>22.641998000000001</v>
      </c>
      <c r="D83">
        <v>87.323920000000001</v>
      </c>
      <c r="E83" s="2" t="s">
        <v>302</v>
      </c>
      <c r="F83" s="2" t="s">
        <v>303</v>
      </c>
      <c r="G83" s="2" t="s">
        <v>327</v>
      </c>
      <c r="H83" s="2" t="s">
        <v>32</v>
      </c>
      <c r="I83" s="2" t="s">
        <v>88</v>
      </c>
      <c r="J83" s="8" t="s">
        <v>34</v>
      </c>
      <c r="K83" s="2" cm="1">
        <f t="array" ref="K83">SUM(VALUE(_xlfn.TEXTSPLIT(J83, ",")))</f>
        <v>1600</v>
      </c>
      <c r="L83" s="2">
        <f t="shared" si="7"/>
        <v>14016000000</v>
      </c>
      <c r="M83" s="2">
        <f>Sheet1!$D$5</f>
        <v>3.6999999999999999E-4</v>
      </c>
      <c r="N83" s="2">
        <f t="shared" si="8"/>
        <v>259.29599999999999</v>
      </c>
      <c r="O83" s="2">
        <f>Sheet1!$D$2</f>
        <v>1.9000000000000001E-4</v>
      </c>
      <c r="P83" s="2">
        <f t="shared" si="9"/>
        <v>133.15200000000002</v>
      </c>
      <c r="Q83" s="2">
        <f>Sheet1!$D$3</f>
        <v>7.1999999999999998E-3</v>
      </c>
      <c r="R83" s="2">
        <f t="shared" si="10"/>
        <v>5045.76</v>
      </c>
      <c r="S83" s="2">
        <f>Sheet1!$D$4</f>
        <v>4.3E-3</v>
      </c>
      <c r="T83" s="2">
        <f t="shared" si="11"/>
        <v>3013.4400000000005</v>
      </c>
    </row>
    <row r="84" spans="1:20" x14ac:dyDescent="0.3">
      <c r="A84" s="2" t="s">
        <v>239</v>
      </c>
      <c r="B84" t="s">
        <v>342</v>
      </c>
      <c r="C84">
        <v>23.531506</v>
      </c>
      <c r="D84">
        <v>87.249855999999994</v>
      </c>
      <c r="E84" s="2" t="s">
        <v>302</v>
      </c>
      <c r="F84" s="2" t="s">
        <v>303</v>
      </c>
      <c r="G84" s="2" t="s">
        <v>327</v>
      </c>
      <c r="H84" s="2" t="s">
        <v>32</v>
      </c>
      <c r="I84" s="2" t="s">
        <v>37</v>
      </c>
      <c r="J84" s="2">
        <v>800</v>
      </c>
      <c r="K84" s="2" cm="1">
        <f t="array" ref="K84">SUM(VALUE(_xlfn.TEXTSPLIT(J84, ",")))</f>
        <v>800</v>
      </c>
      <c r="L84" s="2">
        <f t="shared" si="7"/>
        <v>7008000000</v>
      </c>
      <c r="M84" s="2">
        <f>Sheet1!$D$5</f>
        <v>3.6999999999999999E-4</v>
      </c>
      <c r="N84" s="2">
        <f t="shared" si="8"/>
        <v>129.648</v>
      </c>
      <c r="O84" s="2">
        <f>Sheet1!$D$2</f>
        <v>1.9000000000000001E-4</v>
      </c>
      <c r="P84" s="2">
        <f t="shared" si="9"/>
        <v>66.576000000000008</v>
      </c>
      <c r="Q84" s="2">
        <f>Sheet1!$D$3</f>
        <v>7.1999999999999998E-3</v>
      </c>
      <c r="R84" s="2">
        <f t="shared" si="10"/>
        <v>2522.88</v>
      </c>
      <c r="S84" s="2">
        <f>Sheet1!$D$4</f>
        <v>4.3E-3</v>
      </c>
      <c r="T84" s="2">
        <f t="shared" si="11"/>
        <v>1506.7200000000003</v>
      </c>
    </row>
    <row r="85" spans="1:20" x14ac:dyDescent="0.3">
      <c r="A85" s="2" t="s">
        <v>240</v>
      </c>
      <c r="B85" s="2" t="s">
        <v>246</v>
      </c>
      <c r="C85" s="2">
        <v>24.105382429999999</v>
      </c>
      <c r="D85" s="2">
        <v>82.706386199999997</v>
      </c>
      <c r="E85" s="2" t="s">
        <v>302</v>
      </c>
      <c r="F85" s="2" t="s">
        <v>303</v>
      </c>
      <c r="G85" s="2" t="s">
        <v>326</v>
      </c>
      <c r="H85" s="2" t="s">
        <v>32</v>
      </c>
      <c r="I85" s="2" t="s">
        <v>33</v>
      </c>
      <c r="J85" s="2" t="s">
        <v>49</v>
      </c>
      <c r="K85" s="2" cm="1">
        <f t="array" ref="K85">SUM(VALUE(_xlfn.TEXTSPLIT(J85, ",")))</f>
        <v>1000</v>
      </c>
      <c r="L85" s="2">
        <f t="shared" si="7"/>
        <v>8760000000</v>
      </c>
      <c r="M85" s="2">
        <f>Sheet1!$D$5</f>
        <v>3.6999999999999999E-4</v>
      </c>
      <c r="N85" s="2">
        <f t="shared" si="8"/>
        <v>162.06</v>
      </c>
      <c r="O85" s="2">
        <f>Sheet1!$D$2</f>
        <v>1.9000000000000001E-4</v>
      </c>
      <c r="P85" s="2">
        <f t="shared" si="9"/>
        <v>83.220000000000013</v>
      </c>
      <c r="Q85" s="2">
        <f>Sheet1!$D$3</f>
        <v>7.1999999999999998E-3</v>
      </c>
      <c r="R85" s="2">
        <f t="shared" si="10"/>
        <v>3153.6000000000004</v>
      </c>
      <c r="S85" s="2">
        <f>Sheet1!$D$4</f>
        <v>4.3E-3</v>
      </c>
      <c r="T85" s="2">
        <f t="shared" si="11"/>
        <v>1883.4</v>
      </c>
    </row>
    <row r="86" spans="1:20" x14ac:dyDescent="0.3">
      <c r="A86" s="2" t="s">
        <v>247</v>
      </c>
      <c r="B86" s="2" t="s">
        <v>248</v>
      </c>
      <c r="C86" s="2">
        <v>30.331669999999999</v>
      </c>
      <c r="D86" s="2">
        <v>70.539400000000001</v>
      </c>
      <c r="E86" s="2" t="s">
        <v>325</v>
      </c>
      <c r="F86" s="2" t="s">
        <v>303</v>
      </c>
      <c r="G86" s="2" t="s">
        <v>330</v>
      </c>
      <c r="H86" s="2" t="s">
        <v>249</v>
      </c>
      <c r="I86" s="2" t="s">
        <v>55</v>
      </c>
      <c r="J86" s="2">
        <v>30</v>
      </c>
      <c r="K86" s="2" cm="1">
        <f t="array" ref="K86">SUM(VALUE(_xlfn.TEXTSPLIT(J86, ",")))</f>
        <v>30</v>
      </c>
      <c r="L86" s="2">
        <f t="shared" si="7"/>
        <v>262800000</v>
      </c>
      <c r="M86" s="2">
        <f>Sheet1!$D$5</f>
        <v>3.6999999999999999E-4</v>
      </c>
      <c r="N86" s="2">
        <f t="shared" si="8"/>
        <v>4.8618000000000006</v>
      </c>
      <c r="O86" s="2">
        <f>Sheet1!$D$2</f>
        <v>1.9000000000000001E-4</v>
      </c>
      <c r="P86" s="2">
        <f t="shared" si="9"/>
        <v>2.4966000000000004</v>
      </c>
      <c r="Q86" s="2">
        <f>Sheet1!$D$3</f>
        <v>7.1999999999999998E-3</v>
      </c>
      <c r="R86" s="2">
        <f t="shared" si="10"/>
        <v>94.608000000000004</v>
      </c>
      <c r="S86" s="2">
        <f>Sheet1!$D$4</f>
        <v>4.3E-3</v>
      </c>
      <c r="T86" s="2">
        <f t="shared" si="11"/>
        <v>56.502000000000002</v>
      </c>
    </row>
    <row r="87" spans="1:20" x14ac:dyDescent="0.3">
      <c r="A87" s="2" t="s">
        <v>250</v>
      </c>
      <c r="B87" s="2" t="s">
        <v>251</v>
      </c>
      <c r="C87" s="2">
        <v>24.833089999999999</v>
      </c>
      <c r="D87" s="2">
        <v>67.419619999999995</v>
      </c>
      <c r="E87" s="2" t="s">
        <v>325</v>
      </c>
      <c r="F87" s="2" t="s">
        <v>303</v>
      </c>
      <c r="G87" s="2" t="s">
        <v>332</v>
      </c>
      <c r="H87" s="2" t="s">
        <v>249</v>
      </c>
      <c r="I87" s="2" t="s">
        <v>55</v>
      </c>
      <c r="J87" s="2">
        <v>118</v>
      </c>
      <c r="K87" s="2" cm="1">
        <f t="array" ref="K87">SUM(VALUE(_xlfn.TEXTSPLIT(J87, ",")))</f>
        <v>118</v>
      </c>
      <c r="L87" s="2">
        <f t="shared" si="7"/>
        <v>1033680000</v>
      </c>
      <c r="M87" s="2">
        <f>Sheet1!$D$5</f>
        <v>3.6999999999999999E-4</v>
      </c>
      <c r="N87" s="2">
        <f t="shared" si="8"/>
        <v>19.123079999999998</v>
      </c>
      <c r="O87" s="2">
        <f>Sheet1!$D$2</f>
        <v>1.9000000000000001E-4</v>
      </c>
      <c r="P87" s="2">
        <f t="shared" si="9"/>
        <v>9.8199600000000018</v>
      </c>
      <c r="Q87" s="2">
        <f>Sheet1!$D$3</f>
        <v>7.1999999999999998E-3</v>
      </c>
      <c r="R87" s="2">
        <f t="shared" si="10"/>
        <v>372.12480000000005</v>
      </c>
      <c r="S87" s="2">
        <f>Sheet1!$D$4</f>
        <v>4.3E-3</v>
      </c>
      <c r="T87" s="2">
        <f t="shared" si="11"/>
        <v>222.24119999999999</v>
      </c>
    </row>
    <row r="88" spans="1:20" x14ac:dyDescent="0.3">
      <c r="A88" s="2" t="s">
        <v>252</v>
      </c>
      <c r="B88" s="2" t="s">
        <v>253</v>
      </c>
      <c r="C88" s="2">
        <v>25.155889999999999</v>
      </c>
      <c r="D88" s="2">
        <v>66.783609999999996</v>
      </c>
      <c r="E88" s="2" t="s">
        <v>325</v>
      </c>
      <c r="F88" s="2" t="s">
        <v>303</v>
      </c>
      <c r="G88" s="2" t="s">
        <v>333</v>
      </c>
      <c r="H88" s="2" t="s">
        <v>249</v>
      </c>
      <c r="I88" s="2" t="s">
        <v>55</v>
      </c>
      <c r="J88" s="2">
        <v>30</v>
      </c>
      <c r="K88" s="2" cm="1">
        <f t="array" ref="K88">SUM(VALUE(_xlfn.TEXTSPLIT(J88, ",")))</f>
        <v>30</v>
      </c>
      <c r="L88" s="2">
        <f t="shared" si="7"/>
        <v>262800000</v>
      </c>
      <c r="M88" s="2">
        <f>Sheet1!$D$5</f>
        <v>3.6999999999999999E-4</v>
      </c>
      <c r="N88" s="2">
        <f t="shared" si="8"/>
        <v>4.8618000000000006</v>
      </c>
      <c r="O88" s="2">
        <f>Sheet1!$D$2</f>
        <v>1.9000000000000001E-4</v>
      </c>
      <c r="P88" s="2">
        <f t="shared" si="9"/>
        <v>2.4966000000000004</v>
      </c>
      <c r="Q88" s="2">
        <f>Sheet1!$D$3</f>
        <v>7.1999999999999998E-3</v>
      </c>
      <c r="R88" s="2">
        <f t="shared" si="10"/>
        <v>94.608000000000004</v>
      </c>
      <c r="S88" s="2">
        <f>Sheet1!$D$4</f>
        <v>4.3E-3</v>
      </c>
      <c r="T88" s="2">
        <f t="shared" si="11"/>
        <v>56.502000000000002</v>
      </c>
    </row>
    <row r="89" spans="1:20" x14ac:dyDescent="0.3">
      <c r="A89" s="2" t="s">
        <v>254</v>
      </c>
      <c r="B89" s="2" t="s">
        <v>255</v>
      </c>
      <c r="C89" s="2">
        <v>24.914674999999999</v>
      </c>
      <c r="D89" s="2">
        <v>66.688760000000002</v>
      </c>
      <c r="E89" s="2" t="s">
        <v>302</v>
      </c>
      <c r="F89" s="2" t="s">
        <v>303</v>
      </c>
      <c r="G89" s="2" t="s">
        <v>333</v>
      </c>
      <c r="H89" s="2" t="s">
        <v>249</v>
      </c>
      <c r="I89" s="2" t="s">
        <v>33</v>
      </c>
      <c r="J89" s="2" t="s">
        <v>22</v>
      </c>
      <c r="K89" s="2" cm="1">
        <f t="array" ref="K89">SUM(VALUE(_xlfn.TEXTSPLIT(J89, ",")))</f>
        <v>1320</v>
      </c>
      <c r="L89" s="2">
        <f t="shared" si="7"/>
        <v>11563200000</v>
      </c>
      <c r="M89" s="2">
        <f>Sheet1!$D$5</f>
        <v>3.6999999999999999E-4</v>
      </c>
      <c r="N89" s="2">
        <f t="shared" si="8"/>
        <v>213.91920000000002</v>
      </c>
      <c r="O89" s="2">
        <f>Sheet1!$D$2</f>
        <v>1.9000000000000001E-4</v>
      </c>
      <c r="P89" s="2">
        <f t="shared" si="9"/>
        <v>109.85039999999999</v>
      </c>
      <c r="Q89" s="2">
        <f>Sheet1!$D$3</f>
        <v>7.1999999999999998E-3</v>
      </c>
      <c r="R89" s="2">
        <f t="shared" si="10"/>
        <v>4162.7519999999995</v>
      </c>
      <c r="S89" s="2">
        <f>Sheet1!$D$4</f>
        <v>4.3E-3</v>
      </c>
      <c r="T89" s="2">
        <f t="shared" si="11"/>
        <v>2486.0880000000002</v>
      </c>
    </row>
    <row r="90" spans="1:20" x14ac:dyDescent="0.3">
      <c r="A90" s="2" t="s">
        <v>256</v>
      </c>
      <c r="B90" s="2" t="s">
        <v>257</v>
      </c>
      <c r="C90" s="2">
        <v>25.472221999999999</v>
      </c>
      <c r="D90" s="2">
        <v>68.266110999999995</v>
      </c>
      <c r="E90" s="2" t="s">
        <v>302</v>
      </c>
      <c r="F90" s="2" t="s">
        <v>303</v>
      </c>
      <c r="G90" s="2" t="s">
        <v>332</v>
      </c>
      <c r="H90" s="2" t="s">
        <v>249</v>
      </c>
      <c r="I90" s="2" t="s">
        <v>258</v>
      </c>
      <c r="J90" s="2" t="s">
        <v>22</v>
      </c>
      <c r="K90" s="2" cm="1">
        <f t="array" ref="K90">SUM(VALUE(_xlfn.TEXTSPLIT(J90, ",")))</f>
        <v>1320</v>
      </c>
      <c r="L90" s="2">
        <f t="shared" si="7"/>
        <v>11563200000</v>
      </c>
      <c r="M90" s="2">
        <f>Sheet1!$D$5</f>
        <v>3.6999999999999999E-4</v>
      </c>
      <c r="N90" s="2">
        <f t="shared" si="8"/>
        <v>213.91920000000002</v>
      </c>
      <c r="O90" s="2">
        <f>Sheet1!$D$2</f>
        <v>1.9000000000000001E-4</v>
      </c>
      <c r="P90" s="2">
        <f t="shared" si="9"/>
        <v>109.85039999999999</v>
      </c>
      <c r="Q90" s="2">
        <f>Sheet1!$D$3</f>
        <v>7.1999999999999998E-3</v>
      </c>
      <c r="R90" s="2">
        <f t="shared" si="10"/>
        <v>4162.7519999999995</v>
      </c>
      <c r="S90" s="2">
        <f>Sheet1!$D$4</f>
        <v>4.3E-3</v>
      </c>
      <c r="T90" s="2">
        <f t="shared" si="11"/>
        <v>2486.0880000000002</v>
      </c>
    </row>
    <row r="91" spans="1:20" x14ac:dyDescent="0.3">
      <c r="A91" s="2" t="s">
        <v>259</v>
      </c>
      <c r="B91" s="2" t="s">
        <v>260</v>
      </c>
      <c r="C91" s="2">
        <v>24.15</v>
      </c>
      <c r="D91" s="2">
        <v>67.45</v>
      </c>
      <c r="E91" s="2" t="s">
        <v>302</v>
      </c>
      <c r="F91" s="2" t="s">
        <v>303</v>
      </c>
      <c r="G91" s="2" t="s">
        <v>332</v>
      </c>
      <c r="H91" s="2" t="s">
        <v>249</v>
      </c>
      <c r="I91" s="2" t="s">
        <v>88</v>
      </c>
      <c r="J91" s="2" t="s">
        <v>22</v>
      </c>
      <c r="K91" s="2" cm="1">
        <f t="array" ref="K91">SUM(VALUE(_xlfn.TEXTSPLIT(J91, ",")))</f>
        <v>1320</v>
      </c>
      <c r="L91" s="2">
        <f t="shared" si="7"/>
        <v>11563200000</v>
      </c>
      <c r="M91" s="2">
        <f>Sheet1!$D$5</f>
        <v>3.6999999999999999E-4</v>
      </c>
      <c r="N91" s="2">
        <f t="shared" si="8"/>
        <v>213.91920000000002</v>
      </c>
      <c r="O91" s="2">
        <f>Sheet1!$D$2</f>
        <v>1.9000000000000001E-4</v>
      </c>
      <c r="P91" s="2">
        <f t="shared" si="9"/>
        <v>109.85039999999999</v>
      </c>
      <c r="Q91" s="2">
        <f>Sheet1!$D$3</f>
        <v>7.1999999999999998E-3</v>
      </c>
      <c r="R91" s="2">
        <f t="shared" si="10"/>
        <v>4162.7519999999995</v>
      </c>
      <c r="S91" s="2">
        <f>Sheet1!$D$4</f>
        <v>4.3E-3</v>
      </c>
      <c r="T91" s="2">
        <f t="shared" si="11"/>
        <v>2486.0880000000002</v>
      </c>
    </row>
    <row r="92" spans="1:20" x14ac:dyDescent="0.3">
      <c r="A92" s="2" t="s">
        <v>261</v>
      </c>
      <c r="B92" s="2" t="s">
        <v>262</v>
      </c>
      <c r="C92" s="2">
        <v>30.294550000000001</v>
      </c>
      <c r="D92" s="2">
        <v>70.966970000000003</v>
      </c>
      <c r="E92" s="2" t="s">
        <v>302</v>
      </c>
      <c r="F92" s="2" t="s">
        <v>303</v>
      </c>
      <c r="G92" s="2" t="s">
        <v>330</v>
      </c>
      <c r="H92" s="2" t="s">
        <v>249</v>
      </c>
      <c r="I92" s="2" t="s">
        <v>33</v>
      </c>
      <c r="J92" s="2" t="s">
        <v>107</v>
      </c>
      <c r="K92" s="2" cm="1">
        <f t="array" ref="K92">SUM(VALUE(_xlfn.TEXTSPLIT(J92, ",")))</f>
        <v>120</v>
      </c>
      <c r="L92" s="2">
        <f t="shared" si="7"/>
        <v>1051200000</v>
      </c>
      <c r="M92" s="2">
        <f>Sheet1!$D$5</f>
        <v>3.6999999999999999E-4</v>
      </c>
      <c r="N92" s="2">
        <f t="shared" si="8"/>
        <v>19.447200000000002</v>
      </c>
      <c r="O92" s="2">
        <f>Sheet1!$D$2</f>
        <v>1.9000000000000001E-4</v>
      </c>
      <c r="P92" s="2">
        <f t="shared" si="9"/>
        <v>9.9864000000000015</v>
      </c>
      <c r="Q92" s="2">
        <f>Sheet1!$D$3</f>
        <v>7.1999999999999998E-3</v>
      </c>
      <c r="R92" s="2">
        <f t="shared" si="10"/>
        <v>378.43200000000002</v>
      </c>
      <c r="S92" s="2">
        <f>Sheet1!$D$4</f>
        <v>4.3E-3</v>
      </c>
      <c r="T92" s="2">
        <f t="shared" si="11"/>
        <v>226.00800000000001</v>
      </c>
    </row>
    <row r="93" spans="1:20" x14ac:dyDescent="0.3">
      <c r="A93" s="2" t="s">
        <v>263</v>
      </c>
      <c r="B93" s="2" t="s">
        <v>264</v>
      </c>
      <c r="C93" s="2">
        <v>24.784500000000001</v>
      </c>
      <c r="D93" s="2">
        <v>67.369389999999996</v>
      </c>
      <c r="E93" s="2" t="s">
        <v>302</v>
      </c>
      <c r="F93" s="2" t="s">
        <v>303</v>
      </c>
      <c r="G93" s="2" t="s">
        <v>332</v>
      </c>
      <c r="H93" s="2" t="s">
        <v>249</v>
      </c>
      <c r="I93" s="2" t="s">
        <v>33</v>
      </c>
      <c r="J93" s="2" t="s">
        <v>22</v>
      </c>
      <c r="K93" s="2" cm="1">
        <f t="array" ref="K93">SUM(VALUE(_xlfn.TEXTSPLIT(J93, ",")))</f>
        <v>1320</v>
      </c>
      <c r="L93" s="2">
        <f t="shared" si="7"/>
        <v>11563200000</v>
      </c>
      <c r="M93" s="2">
        <f>Sheet1!$D$5</f>
        <v>3.6999999999999999E-4</v>
      </c>
      <c r="N93" s="2">
        <f t="shared" si="8"/>
        <v>213.91920000000002</v>
      </c>
      <c r="O93" s="2">
        <f>Sheet1!$D$2</f>
        <v>1.9000000000000001E-4</v>
      </c>
      <c r="P93" s="2">
        <f t="shared" si="9"/>
        <v>109.85039999999999</v>
      </c>
      <c r="Q93" s="2">
        <f>Sheet1!$D$3</f>
        <v>7.1999999999999998E-3</v>
      </c>
      <c r="R93" s="2">
        <f t="shared" si="10"/>
        <v>4162.7519999999995</v>
      </c>
      <c r="S93" s="2">
        <f>Sheet1!$D$4</f>
        <v>4.3E-3</v>
      </c>
      <c r="T93" s="2">
        <f t="shared" si="11"/>
        <v>2486.0880000000002</v>
      </c>
    </row>
    <row r="94" spans="1:20" x14ac:dyDescent="0.3">
      <c r="A94" s="2" t="s">
        <v>265</v>
      </c>
      <c r="B94" s="2" t="s">
        <v>266</v>
      </c>
      <c r="C94" s="2">
        <v>24.812805399999998</v>
      </c>
      <c r="D94" s="2">
        <v>67.274560100000002</v>
      </c>
      <c r="E94" s="2" t="s">
        <v>302</v>
      </c>
      <c r="F94" s="2" t="s">
        <v>303</v>
      </c>
      <c r="G94" s="2" t="s">
        <v>332</v>
      </c>
      <c r="H94" s="2" t="s">
        <v>249</v>
      </c>
      <c r="I94" s="2" t="s">
        <v>55</v>
      </c>
      <c r="J94" s="2">
        <v>660</v>
      </c>
      <c r="K94" s="2" cm="1">
        <f t="array" ref="K94">SUM(VALUE(_xlfn.TEXTSPLIT(J94, ",")))</f>
        <v>660</v>
      </c>
      <c r="L94" s="2">
        <f t="shared" si="7"/>
        <v>5781600000</v>
      </c>
      <c r="M94" s="2">
        <f>Sheet1!$D$5</f>
        <v>3.6999999999999999E-4</v>
      </c>
      <c r="N94" s="2">
        <f t="shared" si="8"/>
        <v>106.95960000000001</v>
      </c>
      <c r="O94" s="2">
        <f>Sheet1!$D$2</f>
        <v>1.9000000000000001E-4</v>
      </c>
      <c r="P94" s="2">
        <f t="shared" si="9"/>
        <v>54.925199999999997</v>
      </c>
      <c r="Q94" s="2">
        <f>Sheet1!$D$3</f>
        <v>7.1999999999999998E-3</v>
      </c>
      <c r="R94" s="2">
        <f t="shared" si="10"/>
        <v>2081.3759999999997</v>
      </c>
      <c r="S94" s="2">
        <f>Sheet1!$D$4</f>
        <v>4.3E-3</v>
      </c>
      <c r="T94" s="2">
        <f t="shared" si="11"/>
        <v>1243.0440000000001</v>
      </c>
    </row>
    <row r="95" spans="1:20" x14ac:dyDescent="0.3">
      <c r="A95" s="2" t="s">
        <v>267</v>
      </c>
      <c r="B95" s="2" t="s">
        <v>268</v>
      </c>
      <c r="C95" s="2">
        <v>30.714220000000001</v>
      </c>
      <c r="D95" s="2">
        <v>73.238020000000006</v>
      </c>
      <c r="E95" s="2" t="s">
        <v>302</v>
      </c>
      <c r="F95" s="2" t="s">
        <v>303</v>
      </c>
      <c r="G95" s="2" t="s">
        <v>330</v>
      </c>
      <c r="H95" s="2" t="s">
        <v>249</v>
      </c>
      <c r="I95" s="2" t="s">
        <v>33</v>
      </c>
      <c r="J95" s="2" t="s">
        <v>22</v>
      </c>
      <c r="K95" s="2" cm="1">
        <f t="array" ref="K95">SUM(VALUE(_xlfn.TEXTSPLIT(J95, ",")))</f>
        <v>1320</v>
      </c>
      <c r="L95" s="2">
        <f t="shared" si="7"/>
        <v>11563200000</v>
      </c>
      <c r="M95" s="2">
        <f>Sheet1!$D$5</f>
        <v>3.6999999999999999E-4</v>
      </c>
      <c r="N95" s="2">
        <f t="shared" si="8"/>
        <v>213.91920000000002</v>
      </c>
      <c r="O95" s="2">
        <f>Sheet1!$D$2</f>
        <v>1.9000000000000001E-4</v>
      </c>
      <c r="P95" s="2">
        <f t="shared" si="9"/>
        <v>109.85039999999999</v>
      </c>
      <c r="Q95" s="2">
        <f>Sheet1!$D$3</f>
        <v>7.1999999999999998E-3</v>
      </c>
      <c r="R95" s="2">
        <f t="shared" si="10"/>
        <v>4162.7519999999995</v>
      </c>
      <c r="S95" s="2">
        <f>Sheet1!$D$4</f>
        <v>4.3E-3</v>
      </c>
      <c r="T95" s="2">
        <f t="shared" si="11"/>
        <v>2486.0880000000002</v>
      </c>
    </row>
    <row r="96" spans="1:20" x14ac:dyDescent="0.3">
      <c r="A96" s="2" t="s">
        <v>269</v>
      </c>
      <c r="B96" s="2" t="s">
        <v>270</v>
      </c>
      <c r="C96" s="2">
        <v>24.783617599999999</v>
      </c>
      <c r="D96" s="2">
        <v>70.367088300000006</v>
      </c>
      <c r="E96" s="2" t="s">
        <v>302</v>
      </c>
      <c r="F96" s="2" t="s">
        <v>303</v>
      </c>
      <c r="G96" s="2" t="s">
        <v>332</v>
      </c>
      <c r="H96" s="2" t="s">
        <v>249</v>
      </c>
      <c r="I96" s="2" t="s">
        <v>271</v>
      </c>
      <c r="J96" s="2">
        <v>330</v>
      </c>
      <c r="K96" s="2" cm="1">
        <f t="array" ref="K96">SUM(VALUE(_xlfn.TEXTSPLIT(J96, ",")))</f>
        <v>330</v>
      </c>
      <c r="L96" s="2">
        <f t="shared" si="7"/>
        <v>2890800000</v>
      </c>
      <c r="M96" s="2">
        <f>Sheet1!$D$5</f>
        <v>3.6999999999999999E-4</v>
      </c>
      <c r="N96" s="2">
        <f t="shared" si="8"/>
        <v>53.479800000000004</v>
      </c>
      <c r="O96" s="2">
        <f>Sheet1!$D$2</f>
        <v>1.9000000000000001E-4</v>
      </c>
      <c r="P96" s="2">
        <f t="shared" si="9"/>
        <v>27.462599999999998</v>
      </c>
      <c r="Q96" s="2">
        <f>Sheet1!$D$3</f>
        <v>7.1999999999999998E-3</v>
      </c>
      <c r="R96" s="2">
        <f t="shared" si="10"/>
        <v>1040.6879999999999</v>
      </c>
      <c r="S96" s="2">
        <f>Sheet1!$D$4</f>
        <v>4.3E-3</v>
      </c>
      <c r="T96" s="2">
        <f t="shared" si="11"/>
        <v>621.52200000000005</v>
      </c>
    </row>
    <row r="97" spans="1:20" x14ac:dyDescent="0.3">
      <c r="A97" s="2" t="s">
        <v>272</v>
      </c>
      <c r="B97" s="2" t="s">
        <v>273</v>
      </c>
      <c r="C97" s="2">
        <v>24.8154559</v>
      </c>
      <c r="D97" s="2">
        <v>70.388369400000002</v>
      </c>
      <c r="E97" s="2" t="s">
        <v>302</v>
      </c>
      <c r="F97" s="2" t="s">
        <v>334</v>
      </c>
      <c r="G97" s="2" t="s">
        <v>332</v>
      </c>
      <c r="H97" s="2" t="s">
        <v>249</v>
      </c>
      <c r="I97" s="2" t="s">
        <v>55</v>
      </c>
      <c r="J97" s="2">
        <v>330</v>
      </c>
      <c r="K97" s="2" cm="1">
        <f t="array" ref="K97">SUM(VALUE(_xlfn.TEXTSPLIT(J97, ",")))</f>
        <v>330</v>
      </c>
      <c r="L97" s="2">
        <f t="shared" si="7"/>
        <v>2890800000</v>
      </c>
      <c r="M97" s="2">
        <f>Sheet1!$D$5</f>
        <v>3.6999999999999999E-4</v>
      </c>
      <c r="N97" s="2">
        <f t="shared" si="8"/>
        <v>53.479800000000004</v>
      </c>
      <c r="O97" s="2">
        <f>Sheet1!$D$2</f>
        <v>1.9000000000000001E-4</v>
      </c>
      <c r="P97" s="2">
        <f t="shared" si="9"/>
        <v>27.462599999999998</v>
      </c>
      <c r="Q97" s="2">
        <f>Sheet1!$D$3</f>
        <v>7.1999999999999998E-3</v>
      </c>
      <c r="R97" s="2">
        <f t="shared" si="10"/>
        <v>1040.6879999999999</v>
      </c>
      <c r="S97" s="2">
        <f>Sheet1!$D$4</f>
        <v>4.3E-3</v>
      </c>
      <c r="T97" s="2">
        <f t="shared" si="11"/>
        <v>621.52200000000005</v>
      </c>
    </row>
    <row r="98" spans="1:20" x14ac:dyDescent="0.3">
      <c r="A98" s="2" t="s">
        <v>274</v>
      </c>
      <c r="B98" s="2" t="s">
        <v>275</v>
      </c>
      <c r="C98" s="2">
        <v>24.710802900000001</v>
      </c>
      <c r="D98" s="2">
        <v>70.302493299999995</v>
      </c>
      <c r="E98" s="2" t="s">
        <v>302</v>
      </c>
      <c r="F98" s="2" t="s">
        <v>334</v>
      </c>
      <c r="G98" s="2" t="s">
        <v>332</v>
      </c>
      <c r="H98" s="2" t="s">
        <v>249</v>
      </c>
      <c r="I98" s="2" t="s">
        <v>33</v>
      </c>
      <c r="J98" s="2" t="s">
        <v>22</v>
      </c>
      <c r="K98" s="2" cm="1">
        <f t="array" ref="K98">SUM(VALUE(_xlfn.TEXTSPLIT(J98, ",")))</f>
        <v>1320</v>
      </c>
      <c r="L98" s="2">
        <f t="shared" si="7"/>
        <v>11563200000</v>
      </c>
      <c r="M98" s="2">
        <f>Sheet1!$D$5</f>
        <v>3.6999999999999999E-4</v>
      </c>
      <c r="N98" s="2">
        <f t="shared" si="8"/>
        <v>213.91920000000002</v>
      </c>
      <c r="O98" s="2">
        <f>Sheet1!$D$2</f>
        <v>1.9000000000000001E-4</v>
      </c>
      <c r="P98" s="2">
        <f t="shared" si="9"/>
        <v>109.85039999999999</v>
      </c>
      <c r="Q98" s="2">
        <f>Sheet1!$D$3</f>
        <v>7.1999999999999998E-3</v>
      </c>
      <c r="R98" s="2">
        <f t="shared" si="10"/>
        <v>4162.7519999999995</v>
      </c>
      <c r="S98" s="2">
        <f>Sheet1!$D$4</f>
        <v>4.3E-3</v>
      </c>
      <c r="T98" s="2">
        <f t="shared" si="11"/>
        <v>2486.0880000000002</v>
      </c>
    </row>
    <row r="99" spans="1:20" x14ac:dyDescent="0.3">
      <c r="A99" s="2" t="s">
        <v>276</v>
      </c>
      <c r="B99" s="2" t="s">
        <v>277</v>
      </c>
      <c r="C99" s="2">
        <v>24.812481200000001</v>
      </c>
      <c r="D99" s="2">
        <v>70.394069000000002</v>
      </c>
      <c r="E99" s="2" t="s">
        <v>302</v>
      </c>
      <c r="F99" s="2" t="s">
        <v>334</v>
      </c>
      <c r="G99" s="2" t="s">
        <v>332</v>
      </c>
      <c r="H99" s="2" t="s">
        <v>249</v>
      </c>
      <c r="I99" s="2" t="s">
        <v>33</v>
      </c>
      <c r="J99" s="2" t="s">
        <v>278</v>
      </c>
      <c r="K99" s="2" cm="1">
        <f t="array" ref="K99">SUM(VALUE(_xlfn.TEXTSPLIT(J99, ",")))</f>
        <v>660</v>
      </c>
      <c r="L99" s="2">
        <f t="shared" si="7"/>
        <v>5781600000</v>
      </c>
      <c r="M99" s="2">
        <f>Sheet1!$D$5</f>
        <v>3.6999999999999999E-4</v>
      </c>
      <c r="N99" s="2">
        <f t="shared" si="8"/>
        <v>106.95960000000001</v>
      </c>
      <c r="O99" s="2">
        <f>Sheet1!$D$2</f>
        <v>1.9000000000000001E-4</v>
      </c>
      <c r="P99" s="2">
        <f t="shared" si="9"/>
        <v>54.925199999999997</v>
      </c>
      <c r="Q99" s="2">
        <f>Sheet1!$D$3</f>
        <v>7.1999999999999998E-3</v>
      </c>
      <c r="R99" s="2">
        <f t="shared" si="10"/>
        <v>2081.3759999999997</v>
      </c>
      <c r="S99" s="2">
        <f>Sheet1!$D$4</f>
        <v>4.3E-3</v>
      </c>
      <c r="T99" s="2">
        <f t="shared" si="11"/>
        <v>1243.0440000000001</v>
      </c>
    </row>
    <row r="100" spans="1:20" x14ac:dyDescent="0.3">
      <c r="A100" s="2" t="s">
        <v>279</v>
      </c>
      <c r="B100" s="2" t="s">
        <v>280</v>
      </c>
      <c r="C100" s="2">
        <v>24.8408017</v>
      </c>
      <c r="D100" s="2">
        <v>70.315074899999999</v>
      </c>
      <c r="E100" s="2" t="s">
        <v>302</v>
      </c>
      <c r="F100" s="2" t="s">
        <v>334</v>
      </c>
      <c r="G100" s="2" t="s">
        <v>332</v>
      </c>
      <c r="H100" s="2" t="s">
        <v>249</v>
      </c>
      <c r="I100" s="2" t="s">
        <v>88</v>
      </c>
      <c r="J100" s="2" t="s">
        <v>198</v>
      </c>
      <c r="K100" s="2" cm="1">
        <f t="array" ref="K100">SUM(VALUE(_xlfn.TEXTSPLIT(J100, ",")))</f>
        <v>1400</v>
      </c>
      <c r="L100" s="2">
        <f t="shared" si="7"/>
        <v>12264000000</v>
      </c>
      <c r="M100" s="2">
        <f>Sheet1!$D$5</f>
        <v>3.6999999999999999E-4</v>
      </c>
      <c r="N100" s="2">
        <f t="shared" si="8"/>
        <v>226.88400000000001</v>
      </c>
      <c r="O100" s="2">
        <f>Sheet1!$D$2</f>
        <v>1.9000000000000001E-4</v>
      </c>
      <c r="P100" s="2">
        <f t="shared" si="9"/>
        <v>116.508</v>
      </c>
      <c r="Q100" s="2">
        <f>Sheet1!$D$3</f>
        <v>7.1999999999999998E-3</v>
      </c>
      <c r="R100" s="2">
        <f t="shared" si="10"/>
        <v>4415.04</v>
      </c>
      <c r="S100" s="2">
        <f>Sheet1!$D$4</f>
        <v>4.3E-3</v>
      </c>
      <c r="T100" s="2">
        <f t="shared" si="11"/>
        <v>2636.76</v>
      </c>
    </row>
    <row r="101" spans="1:20" x14ac:dyDescent="0.3">
      <c r="A101" s="2" t="s">
        <v>281</v>
      </c>
      <c r="B101" s="2" t="s">
        <v>282</v>
      </c>
      <c r="C101" s="2">
        <v>24.806213499999998</v>
      </c>
      <c r="D101" s="2">
        <v>70.400500699999995</v>
      </c>
      <c r="E101" s="2" t="s">
        <v>302</v>
      </c>
      <c r="F101" s="2" t="s">
        <v>334</v>
      </c>
      <c r="G101" s="2" t="s">
        <v>332</v>
      </c>
      <c r="H101" s="2" t="s">
        <v>249</v>
      </c>
      <c r="I101" s="2" t="s">
        <v>55</v>
      </c>
      <c r="J101" s="2">
        <v>330</v>
      </c>
      <c r="K101" s="2" cm="1">
        <f t="array" ref="K101">SUM(VALUE(_xlfn.TEXTSPLIT(J101, ",")))</f>
        <v>330</v>
      </c>
      <c r="L101" s="2">
        <f t="shared" si="7"/>
        <v>2890800000</v>
      </c>
      <c r="M101" s="2">
        <f>Sheet1!$D$5</f>
        <v>3.6999999999999999E-4</v>
      </c>
      <c r="N101" s="2">
        <f t="shared" si="8"/>
        <v>53.479800000000004</v>
      </c>
      <c r="O101" s="2">
        <f>Sheet1!$D$2</f>
        <v>1.9000000000000001E-4</v>
      </c>
      <c r="P101" s="2">
        <f t="shared" si="9"/>
        <v>27.462599999999998</v>
      </c>
      <c r="Q101" s="2">
        <f>Sheet1!$D$3</f>
        <v>7.1999999999999998E-3</v>
      </c>
      <c r="R101" s="2">
        <f t="shared" si="10"/>
        <v>1040.6879999999999</v>
      </c>
      <c r="S101" s="2">
        <f>Sheet1!$D$4</f>
        <v>4.3E-3</v>
      </c>
      <c r="T101" s="2">
        <f t="shared" si="11"/>
        <v>621.52200000000005</v>
      </c>
    </row>
    <row r="102" spans="1:20" x14ac:dyDescent="0.3">
      <c r="A102" s="2" t="s">
        <v>283</v>
      </c>
      <c r="B102" s="2" t="s">
        <v>284</v>
      </c>
      <c r="C102" s="2">
        <v>31.268784870000001</v>
      </c>
      <c r="D102" s="2">
        <v>74.179736570000003</v>
      </c>
      <c r="E102" s="2" t="s">
        <v>325</v>
      </c>
      <c r="F102" s="2" t="s">
        <v>303</v>
      </c>
      <c r="G102" s="2" t="s">
        <v>330</v>
      </c>
      <c r="H102" s="2" t="s">
        <v>249</v>
      </c>
      <c r="I102" s="2" t="s">
        <v>55</v>
      </c>
      <c r="J102" s="2">
        <v>0</v>
      </c>
      <c r="K102" s="2" cm="1">
        <f t="array" ref="K102">SUM(VALUE(_xlfn.TEXTSPLIT(J102, ",")))</f>
        <v>0</v>
      </c>
      <c r="L102" s="2">
        <f t="shared" si="7"/>
        <v>0</v>
      </c>
      <c r="M102" s="2">
        <f>Sheet1!$D$5</f>
        <v>3.6999999999999999E-4</v>
      </c>
      <c r="N102" s="2">
        <f t="shared" si="8"/>
        <v>0</v>
      </c>
      <c r="O102" s="2">
        <f>Sheet1!$D$2</f>
        <v>1.9000000000000001E-4</v>
      </c>
      <c r="P102" s="2">
        <f t="shared" si="9"/>
        <v>0</v>
      </c>
      <c r="Q102" s="2">
        <f>Sheet1!$D$3</f>
        <v>7.1999999999999998E-3</v>
      </c>
      <c r="R102" s="2">
        <f t="shared" si="10"/>
        <v>0</v>
      </c>
      <c r="S102" s="2">
        <f>Sheet1!$D$4</f>
        <v>4.3E-3</v>
      </c>
      <c r="T102" s="2">
        <f t="shared" si="11"/>
        <v>0</v>
      </c>
    </row>
    <row r="103" spans="1:20" x14ac:dyDescent="0.3">
      <c r="A103" s="2" t="s">
        <v>285</v>
      </c>
      <c r="B103" s="2" t="s">
        <v>286</v>
      </c>
      <c r="C103" s="2">
        <v>31.6526</v>
      </c>
      <c r="D103" s="2">
        <v>74.180800000000005</v>
      </c>
      <c r="E103" s="2" t="s">
        <v>325</v>
      </c>
      <c r="F103" s="2" t="s">
        <v>303</v>
      </c>
      <c r="G103" s="2" t="s">
        <v>330</v>
      </c>
      <c r="H103" s="2" t="s">
        <v>249</v>
      </c>
      <c r="I103" s="2" t="s">
        <v>287</v>
      </c>
      <c r="J103" s="2">
        <v>31.5</v>
      </c>
      <c r="K103" s="2" cm="1">
        <f t="array" ref="K103">SUM(VALUE(_xlfn.TEXTSPLIT(J103, ",")))</f>
        <v>31.5</v>
      </c>
      <c r="L103" s="2">
        <f t="shared" si="7"/>
        <v>275940000</v>
      </c>
      <c r="M103" s="2">
        <f>Sheet1!$D$5</f>
        <v>3.6999999999999999E-4</v>
      </c>
      <c r="N103" s="2">
        <f t="shared" si="8"/>
        <v>5.104890000000001</v>
      </c>
      <c r="O103" s="2">
        <f>Sheet1!$D$2</f>
        <v>1.9000000000000001E-4</v>
      </c>
      <c r="P103" s="2">
        <f t="shared" si="9"/>
        <v>2.6214300000000001</v>
      </c>
      <c r="Q103" s="2">
        <f>Sheet1!$D$3</f>
        <v>7.1999999999999998E-3</v>
      </c>
      <c r="R103" s="2">
        <f t="shared" si="10"/>
        <v>99.338400000000007</v>
      </c>
      <c r="S103" s="2">
        <f>Sheet1!$D$4</f>
        <v>4.3E-3</v>
      </c>
      <c r="T103" s="2">
        <f t="shared" si="11"/>
        <v>59.327100000000002</v>
      </c>
    </row>
    <row r="104" spans="1:20" x14ac:dyDescent="0.3">
      <c r="A104" s="2" t="s">
        <v>288</v>
      </c>
      <c r="B104" s="2" t="s">
        <v>290</v>
      </c>
      <c r="C104" s="2">
        <v>31.6884929</v>
      </c>
      <c r="D104" s="2">
        <v>74.076410030000005</v>
      </c>
      <c r="E104" s="2" t="s">
        <v>325</v>
      </c>
      <c r="F104" s="2" t="s">
        <v>303</v>
      </c>
      <c r="G104" s="2" t="s">
        <v>330</v>
      </c>
      <c r="H104" s="2" t="s">
        <v>249</v>
      </c>
      <c r="I104" s="2" t="s">
        <v>55</v>
      </c>
      <c r="J104" s="2">
        <v>0</v>
      </c>
      <c r="K104" s="2" cm="1">
        <f t="array" ref="K104">SUM(VALUE(_xlfn.TEXTSPLIT(J104, ",")))</f>
        <v>0</v>
      </c>
      <c r="L104" s="2">
        <f t="shared" si="7"/>
        <v>0</v>
      </c>
      <c r="M104" s="2">
        <f>Sheet1!$D$5</f>
        <v>3.6999999999999999E-4</v>
      </c>
      <c r="N104" s="2">
        <f t="shared" si="8"/>
        <v>0</v>
      </c>
      <c r="O104" s="2">
        <f>Sheet1!$D$2</f>
        <v>1.9000000000000001E-4</v>
      </c>
      <c r="P104" s="2">
        <f t="shared" si="9"/>
        <v>0</v>
      </c>
      <c r="Q104" s="2">
        <f>Sheet1!$D$3</f>
        <v>7.1999999999999998E-3</v>
      </c>
      <c r="R104" s="2">
        <f t="shared" si="10"/>
        <v>0</v>
      </c>
      <c r="S104" s="2">
        <f>Sheet1!$D$4</f>
        <v>4.3E-3</v>
      </c>
      <c r="T104" s="2">
        <f t="shared" si="11"/>
        <v>0</v>
      </c>
    </row>
    <row r="105" spans="1:20" x14ac:dyDescent="0.3">
      <c r="A105" s="2" t="s">
        <v>289</v>
      </c>
      <c r="B105" s="2" t="s">
        <v>292</v>
      </c>
      <c r="C105" s="2">
        <v>31.775564330000002</v>
      </c>
      <c r="D105" s="2">
        <v>74.087668620000002</v>
      </c>
      <c r="E105" s="2" t="s">
        <v>325</v>
      </c>
      <c r="F105" s="2" t="s">
        <v>303</v>
      </c>
      <c r="G105" s="2" t="s">
        <v>330</v>
      </c>
      <c r="H105" s="2" t="s">
        <v>249</v>
      </c>
      <c r="I105" s="2" t="s">
        <v>55</v>
      </c>
      <c r="J105" s="2">
        <v>0</v>
      </c>
      <c r="K105" s="2" cm="1">
        <f t="array" ref="K105">SUM(VALUE(_xlfn.TEXTSPLIT(J105, ",")))</f>
        <v>0</v>
      </c>
      <c r="L105" s="2">
        <f t="shared" si="7"/>
        <v>0</v>
      </c>
      <c r="M105" s="2">
        <f>Sheet1!$D$5</f>
        <v>3.6999999999999999E-4</v>
      </c>
      <c r="N105" s="2">
        <f t="shared" si="8"/>
        <v>0</v>
      </c>
      <c r="O105" s="2">
        <f>Sheet1!$D$2</f>
        <v>1.9000000000000001E-4</v>
      </c>
      <c r="P105" s="2">
        <f t="shared" si="9"/>
        <v>0</v>
      </c>
      <c r="Q105" s="2">
        <f>Sheet1!$D$3</f>
        <v>7.1999999999999998E-3</v>
      </c>
      <c r="R105" s="2">
        <f t="shared" si="10"/>
        <v>0</v>
      </c>
      <c r="S105" s="2">
        <f>Sheet1!$D$4</f>
        <v>4.3E-3</v>
      </c>
      <c r="T105" s="2">
        <f t="shared" si="11"/>
        <v>0</v>
      </c>
    </row>
    <row r="106" spans="1:20" x14ac:dyDescent="0.3">
      <c r="A106" s="2" t="s">
        <v>291</v>
      </c>
      <c r="B106" s="2" t="s">
        <v>294</v>
      </c>
      <c r="C106" s="2">
        <v>31.522919999999999</v>
      </c>
      <c r="D106" s="2">
        <v>73.388220000000004</v>
      </c>
      <c r="E106" s="2" t="s">
        <v>325</v>
      </c>
      <c r="F106" s="2" t="s">
        <v>303</v>
      </c>
      <c r="G106" s="2" t="s">
        <v>330</v>
      </c>
      <c r="H106" s="2" t="s">
        <v>249</v>
      </c>
      <c r="I106" s="2" t="s">
        <v>55</v>
      </c>
      <c r="J106" s="2" t="s">
        <v>344</v>
      </c>
      <c r="K106" s="2" cm="1">
        <f t="array" ref="K106">SUM(VALUE(_xlfn.TEXTSPLIT(J106, ",")))</f>
        <v>80</v>
      </c>
      <c r="L106" s="2">
        <f t="shared" si="7"/>
        <v>700800000</v>
      </c>
      <c r="M106" s="2">
        <f>Sheet1!$D$5</f>
        <v>3.6999999999999999E-4</v>
      </c>
      <c r="N106" s="2">
        <f t="shared" si="8"/>
        <v>12.9648</v>
      </c>
      <c r="O106" s="2">
        <f>Sheet1!$D$2</f>
        <v>1.9000000000000001E-4</v>
      </c>
      <c r="P106" s="2">
        <f t="shared" si="9"/>
        <v>6.6575999999999995</v>
      </c>
      <c r="Q106" s="2">
        <f>Sheet1!$D$3</f>
        <v>7.1999999999999998E-3</v>
      </c>
      <c r="R106" s="2">
        <f t="shared" si="10"/>
        <v>252.28800000000001</v>
      </c>
      <c r="S106" s="2">
        <f>Sheet1!$D$4</f>
        <v>4.3E-3</v>
      </c>
      <c r="T106" s="2">
        <f t="shared" si="11"/>
        <v>150.672</v>
      </c>
    </row>
    <row r="107" spans="1:20" x14ac:dyDescent="0.3">
      <c r="A107" s="2" t="s">
        <v>293</v>
      </c>
      <c r="B107" s="2" t="s">
        <v>296</v>
      </c>
      <c r="C107" s="2">
        <v>32.904670000000003</v>
      </c>
      <c r="D107" s="2">
        <v>71.610640000000004</v>
      </c>
      <c r="E107" s="2" t="s">
        <v>325</v>
      </c>
      <c r="F107" s="2" t="s">
        <v>303</v>
      </c>
      <c r="G107" s="2" t="s">
        <v>330</v>
      </c>
      <c r="H107" s="2" t="s">
        <v>249</v>
      </c>
      <c r="I107" s="2" t="s">
        <v>55</v>
      </c>
      <c r="J107" s="2">
        <v>40</v>
      </c>
      <c r="K107" s="2" cm="1">
        <f t="array" ref="K107">SUM(VALUE(_xlfn.TEXTSPLIT(J107, ",")))</f>
        <v>40</v>
      </c>
      <c r="L107" s="2">
        <f t="shared" si="7"/>
        <v>350400000</v>
      </c>
      <c r="M107" s="2">
        <f>Sheet1!$D$5</f>
        <v>3.6999999999999999E-4</v>
      </c>
      <c r="N107" s="2">
        <f t="shared" si="8"/>
        <v>6.4824000000000002</v>
      </c>
      <c r="O107" s="2">
        <f>Sheet1!$D$2</f>
        <v>1.9000000000000001E-4</v>
      </c>
      <c r="P107" s="2">
        <f t="shared" si="9"/>
        <v>3.3287999999999998</v>
      </c>
      <c r="Q107" s="2">
        <f>Sheet1!$D$3</f>
        <v>7.1999999999999998E-3</v>
      </c>
      <c r="R107" s="2">
        <f t="shared" si="10"/>
        <v>126.14400000000001</v>
      </c>
      <c r="S107" s="2">
        <f>Sheet1!$D$4</f>
        <v>4.3E-3</v>
      </c>
      <c r="T107" s="2">
        <f t="shared" si="11"/>
        <v>75.335999999999999</v>
      </c>
    </row>
    <row r="108" spans="1:20" x14ac:dyDescent="0.3">
      <c r="A108" s="2" t="s">
        <v>295</v>
      </c>
      <c r="B108" s="2" t="s">
        <v>345</v>
      </c>
      <c r="C108">
        <v>31.9816130933884</v>
      </c>
      <c r="D108">
        <v>72.186481536522805</v>
      </c>
      <c r="E108" s="2" t="s">
        <v>302</v>
      </c>
      <c r="F108" s="2" t="s">
        <v>303</v>
      </c>
      <c r="G108" s="2" t="s">
        <v>330</v>
      </c>
      <c r="H108" s="2" t="s">
        <v>249</v>
      </c>
      <c r="I108" s="2" t="s">
        <v>55</v>
      </c>
      <c r="J108" s="2">
        <v>50</v>
      </c>
      <c r="K108" s="2" cm="1">
        <f t="array" ref="K108">SUM(VALUE(_xlfn.TEXTSPLIT(J108, ",")))</f>
        <v>50</v>
      </c>
      <c r="L108" s="2">
        <f t="shared" si="7"/>
        <v>438000000</v>
      </c>
      <c r="M108" s="2">
        <f>Sheet1!$D$5</f>
        <v>3.6999999999999999E-4</v>
      </c>
      <c r="N108" s="2">
        <f t="shared" si="8"/>
        <v>8.1029999999999998</v>
      </c>
      <c r="O108" s="2">
        <f>Sheet1!$D$2</f>
        <v>1.9000000000000001E-4</v>
      </c>
      <c r="P108" s="2">
        <f t="shared" ref="P108" si="12">((L108*O108)/1000)*0.05</f>
        <v>4.1610000000000005</v>
      </c>
      <c r="Q108" s="2">
        <f>Sheet1!$D$3</f>
        <v>7.1999999999999998E-3</v>
      </c>
      <c r="R108" s="2">
        <f t="shared" ref="R108" si="13">((L108*Q108)/1000)*0.05</f>
        <v>157.68</v>
      </c>
      <c r="S108" s="2">
        <f>Sheet1!$D$4</f>
        <v>4.3E-3</v>
      </c>
      <c r="T108" s="2">
        <f t="shared" ref="T108" si="14">((S108*L108)/1000)*0.05</f>
        <v>94.170000000000016</v>
      </c>
    </row>
  </sheetData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B1C4F-5CEA-4C2E-971A-5032F5680475}">
  <dimension ref="A1:E11"/>
  <sheetViews>
    <sheetView workbookViewId="0">
      <selection activeCell="B15" sqref="A1:XFD1048576"/>
    </sheetView>
  </sheetViews>
  <sheetFormatPr defaultColWidth="11.44140625" defaultRowHeight="14.4" x14ac:dyDescent="0.3"/>
  <cols>
    <col min="1" max="1" width="15.109375" customWidth="1"/>
    <col min="2" max="2" width="30.77734375" customWidth="1"/>
    <col min="3" max="3" width="29.33203125" customWidth="1"/>
    <col min="4" max="4" width="45.6640625" bestFit="1" customWidth="1"/>
    <col min="5" max="5" width="88" bestFit="1" customWidth="1"/>
  </cols>
  <sheetData>
    <row r="1" spans="1:5" x14ac:dyDescent="0.3">
      <c r="A1" s="3" t="s">
        <v>307</v>
      </c>
      <c r="B1" s="3" t="s">
        <v>308</v>
      </c>
      <c r="C1" s="3" t="s">
        <v>309</v>
      </c>
      <c r="D1" s="3" t="s">
        <v>310</v>
      </c>
      <c r="E1" s="4" t="s">
        <v>311</v>
      </c>
    </row>
    <row r="2" spans="1:5" x14ac:dyDescent="0.3">
      <c r="A2" s="3" t="s">
        <v>312</v>
      </c>
      <c r="B2" s="3">
        <v>0.19</v>
      </c>
      <c r="C2" s="3" t="s">
        <v>313</v>
      </c>
      <c r="D2" s="3">
        <f>B2/1000</f>
        <v>1.9000000000000001E-4</v>
      </c>
      <c r="E2" s="4" t="s">
        <v>314</v>
      </c>
    </row>
    <row r="3" spans="1:5" x14ac:dyDescent="0.3">
      <c r="A3" s="3" t="s">
        <v>315</v>
      </c>
      <c r="B3" s="3">
        <v>7.2</v>
      </c>
      <c r="C3" s="3" t="s">
        <v>313</v>
      </c>
      <c r="D3" s="3">
        <f t="shared" ref="D3:D5" si="0">B3/1000</f>
        <v>7.1999999999999998E-3</v>
      </c>
      <c r="E3" s="4"/>
    </row>
    <row r="4" spans="1:5" x14ac:dyDescent="0.3">
      <c r="A4" s="3" t="s">
        <v>316</v>
      </c>
      <c r="B4" s="3">
        <v>4.3</v>
      </c>
      <c r="C4" s="3" t="s">
        <v>313</v>
      </c>
      <c r="D4" s="3">
        <f t="shared" si="0"/>
        <v>4.3E-3</v>
      </c>
      <c r="E4" s="4" t="s">
        <v>317</v>
      </c>
    </row>
    <row r="5" spans="1:5" x14ac:dyDescent="0.3">
      <c r="A5" s="3" t="s">
        <v>318</v>
      </c>
      <c r="B5" s="3">
        <f>AVERAGE(0.29,0.45)</f>
        <v>0.37</v>
      </c>
      <c r="C5" s="3" t="s">
        <v>313</v>
      </c>
      <c r="D5" s="3">
        <f t="shared" si="0"/>
        <v>3.6999999999999999E-4</v>
      </c>
      <c r="E5" s="4" t="s">
        <v>319</v>
      </c>
    </row>
    <row r="6" spans="1:5" x14ac:dyDescent="0.3">
      <c r="A6" s="4"/>
      <c r="B6" s="4"/>
      <c r="C6" s="4"/>
      <c r="D6" s="4"/>
      <c r="E6" s="4"/>
    </row>
    <row r="7" spans="1:5" x14ac:dyDescent="0.3">
      <c r="A7" s="4"/>
      <c r="B7" s="4"/>
      <c r="C7" s="4"/>
      <c r="D7" s="4"/>
      <c r="E7" s="4"/>
    </row>
    <row r="8" spans="1:5" x14ac:dyDescent="0.3">
      <c r="A8" s="4"/>
      <c r="B8" s="4"/>
      <c r="C8" s="4"/>
      <c r="D8" s="4"/>
      <c r="E8" s="4"/>
    </row>
    <row r="9" spans="1:5" x14ac:dyDescent="0.3">
      <c r="A9" s="4"/>
      <c r="B9" s="4"/>
      <c r="C9" s="4"/>
      <c r="D9" s="4"/>
      <c r="E9" s="4"/>
    </row>
    <row r="10" spans="1:5" ht="39.6" x14ac:dyDescent="0.3">
      <c r="A10" s="5" t="s">
        <v>320</v>
      </c>
      <c r="B10" s="6" t="s">
        <v>321</v>
      </c>
      <c r="C10" s="7" t="s">
        <v>322</v>
      </c>
      <c r="D10" s="4"/>
      <c r="E10" s="4"/>
    </row>
    <row r="11" spans="1:5" ht="39.6" x14ac:dyDescent="0.3">
      <c r="B11" s="6" t="s">
        <v>323</v>
      </c>
    </row>
  </sheetData>
  <hyperlinks>
    <hyperlink ref="C10" r:id="rId1" xr:uid="{915570E3-068A-4794-AAC5-76AB5C48BD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coal_plants_main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Khizer Zakir</dc:creator>
  <cp:lastModifiedBy>Zakir Khizer</cp:lastModifiedBy>
  <dcterms:created xsi:type="dcterms:W3CDTF">2025-11-08T12:54:48Z</dcterms:created>
  <dcterms:modified xsi:type="dcterms:W3CDTF">2025-12-09T10:37:31Z</dcterms:modified>
</cp:coreProperties>
</file>