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Furnace Oil\"/>
    </mc:Choice>
  </mc:AlternateContent>
  <xr:revisionPtr revIDLastSave="0" documentId="13_ncr:1_{AF00F50F-4BAD-4FF9-AFA9-6D3F19D394C7}" xr6:coauthVersionLast="47" xr6:coauthVersionMax="47" xr10:uidLastSave="{00000000-0000-0000-0000-000000000000}"/>
  <bookViews>
    <workbookView xWindow="-108" yWindow="-108" windowWidth="23256" windowHeight="12456" xr2:uid="{89E3E1D4-058F-4101-B26F-B643B033DF7D}"/>
  </bookViews>
  <sheets>
    <sheet name="Furnace_oil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L3" i="1"/>
  <c r="M3" i="1" s="1"/>
  <c r="L4" i="1"/>
  <c r="M4" i="1" s="1"/>
  <c r="L5" i="1"/>
  <c r="L6" i="1"/>
  <c r="L7" i="1"/>
  <c r="L8" i="1"/>
  <c r="L9" i="1"/>
  <c r="L10" i="1"/>
  <c r="M10" i="1" s="1"/>
  <c r="L11" i="1"/>
  <c r="M11" i="1" s="1"/>
  <c r="L12" i="1"/>
  <c r="M12" i="1" s="1"/>
  <c r="L13" i="1"/>
  <c r="L14" i="1"/>
  <c r="L15" i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M33" i="1" s="1"/>
  <c r="L34" i="1"/>
  <c r="M34" i="1" s="1"/>
  <c r="L35" i="1"/>
  <c r="M35" i="1" s="1"/>
  <c r="L36" i="1"/>
  <c r="M36" i="1" s="1"/>
  <c r="S9" i="1"/>
  <c r="S2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2" i="1"/>
  <c r="Q8" i="1"/>
  <c r="Q9" i="1"/>
  <c r="Q21" i="1"/>
  <c r="Q22" i="1"/>
  <c r="Q23" i="1"/>
  <c r="Q24" i="1"/>
  <c r="Q25" i="1"/>
  <c r="Q26" i="1"/>
  <c r="Q27" i="1"/>
  <c r="Q2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2" i="1"/>
  <c r="O5" i="1"/>
  <c r="O6" i="1"/>
  <c r="O7" i="1"/>
  <c r="O21" i="1"/>
  <c r="O22" i="1"/>
  <c r="O2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2" i="1"/>
  <c r="B5" i="3"/>
  <c r="D5" i="3" s="1"/>
  <c r="B4" i="3"/>
  <c r="D4" i="3" s="1"/>
  <c r="D3" i="3"/>
  <c r="B3" i="3"/>
  <c r="B2" i="3"/>
  <c r="D2" i="3" s="1"/>
  <c r="J9" i="1"/>
  <c r="M9" i="1" s="1"/>
  <c r="O9" i="1" s="1"/>
  <c r="J8" i="1"/>
  <c r="M8" i="1" s="1"/>
  <c r="O8" i="1" s="1"/>
  <c r="T2" i="1"/>
  <c r="M5" i="1"/>
  <c r="S5" i="1" s="1"/>
  <c r="M6" i="1"/>
  <c r="S6" i="1" s="1"/>
  <c r="M7" i="1"/>
  <c r="S7" i="1" s="1"/>
  <c r="M13" i="1"/>
  <c r="Q13" i="1" s="1"/>
  <c r="M14" i="1"/>
  <c r="Q14" i="1" s="1"/>
  <c r="M15" i="1"/>
  <c r="Q15" i="1" s="1"/>
  <c r="M21" i="1"/>
  <c r="M22" i="1"/>
  <c r="S22" i="1" s="1"/>
  <c r="M23" i="1"/>
  <c r="S23" i="1" s="1"/>
  <c r="M24" i="1"/>
  <c r="O24" i="1" s="1"/>
  <c r="M25" i="1"/>
  <c r="O25" i="1" s="1"/>
  <c r="M26" i="1"/>
  <c r="O26" i="1" s="1"/>
  <c r="M27" i="1"/>
  <c r="S27" i="1" s="1"/>
  <c r="M28" i="1"/>
  <c r="S28" i="1" s="1"/>
  <c r="M29" i="1"/>
  <c r="Q29" i="1" s="1"/>
  <c r="M30" i="1"/>
  <c r="Q30" i="1" s="1"/>
  <c r="M31" i="1"/>
  <c r="Q31" i="1" s="1"/>
  <c r="M32" i="1"/>
  <c r="Q32" i="1" s="1"/>
  <c r="S19" i="1" l="1"/>
  <c r="O19" i="1"/>
  <c r="Q19" i="1"/>
  <c r="S34" i="1"/>
  <c r="O34" i="1"/>
  <c r="Q34" i="1"/>
  <c r="O33" i="1"/>
  <c r="S33" i="1"/>
  <c r="Q33" i="1"/>
  <c r="S35" i="1"/>
  <c r="Q35" i="1"/>
  <c r="O35" i="1"/>
  <c r="S18" i="1"/>
  <c r="O18" i="1"/>
  <c r="Q18" i="1"/>
  <c r="O16" i="1"/>
  <c r="S16" i="1"/>
  <c r="Q16" i="1"/>
  <c r="S12" i="1"/>
  <c r="O12" i="1"/>
  <c r="Q12" i="1"/>
  <c r="S3" i="1"/>
  <c r="Q3" i="1"/>
  <c r="O3" i="1"/>
  <c r="S17" i="1"/>
  <c r="Q17" i="1"/>
  <c r="O17" i="1"/>
  <c r="Q11" i="1"/>
  <c r="O11" i="1"/>
  <c r="S11" i="1"/>
  <c r="O10" i="1"/>
  <c r="S10" i="1"/>
  <c r="Q10" i="1"/>
  <c r="S36" i="1"/>
  <c r="O36" i="1"/>
  <c r="Q36" i="1"/>
  <c r="S20" i="1"/>
  <c r="Q20" i="1"/>
  <c r="O20" i="1"/>
  <c r="S4" i="1"/>
  <c r="Q4" i="1"/>
  <c r="O4" i="1"/>
  <c r="S32" i="1"/>
  <c r="S31" i="1"/>
  <c r="S14" i="1"/>
  <c r="Q7" i="1"/>
  <c r="Q6" i="1"/>
  <c r="S26" i="1"/>
  <c r="O31" i="1"/>
  <c r="S25" i="1"/>
  <c r="O30" i="1"/>
  <c r="O14" i="1"/>
  <c r="S24" i="1"/>
  <c r="S8" i="1"/>
  <c r="O29" i="1"/>
  <c r="O13" i="1"/>
  <c r="O28" i="1"/>
  <c r="S15" i="1"/>
  <c r="S30" i="1"/>
  <c r="S13" i="1"/>
  <c r="O32" i="1"/>
  <c r="Q5" i="1"/>
  <c r="O27" i="1"/>
  <c r="S29" i="1"/>
  <c r="O15" i="1"/>
  <c r="U2" i="1"/>
  <c r="S2" i="1"/>
  <c r="Q2" i="1"/>
  <c r="O2" i="1"/>
  <c r="U13" i="1"/>
  <c r="U7" i="1"/>
  <c r="U6" i="1"/>
  <c r="U5" i="1"/>
  <c r="U4" i="1"/>
  <c r="U3" i="1"/>
  <c r="U15" i="1"/>
  <c r="U14" i="1"/>
  <c r="U16" i="1"/>
  <c r="U23" i="1"/>
  <c r="U21" i="1"/>
  <c r="U18" i="1"/>
  <c r="U35" i="1"/>
  <c r="U32" i="1"/>
  <c r="U31" i="1"/>
  <c r="U30" i="1"/>
  <c r="U29" i="1"/>
  <c r="U36" i="1"/>
  <c r="U34" i="1"/>
  <c r="U33" i="1"/>
  <c r="U12" i="1"/>
  <c r="U11" i="1"/>
  <c r="U10" i="1"/>
  <c r="U28" i="1"/>
  <c r="U22" i="1"/>
  <c r="U20" i="1"/>
  <c r="U19" i="1"/>
  <c r="U17" i="1"/>
  <c r="U25" i="1"/>
  <c r="U9" i="1"/>
  <c r="U24" i="1"/>
  <c r="U8" i="1"/>
  <c r="U27" i="1"/>
  <c r="U26" i="1"/>
</calcChain>
</file>

<file path=xl/sharedStrings.xml><?xml version="1.0" encoding="utf-8"?>
<sst xmlns="http://schemas.openxmlformats.org/spreadsheetml/2006/main" count="274" uniqueCount="121">
  <si>
    <t>id</t>
  </si>
  <si>
    <t>name</t>
  </si>
  <si>
    <t>lat</t>
  </si>
  <si>
    <t>lon</t>
  </si>
  <si>
    <t>type</t>
  </si>
  <si>
    <t>fuel</t>
  </si>
  <si>
    <t>state</t>
  </si>
  <si>
    <t>country</t>
  </si>
  <si>
    <t>status</t>
  </si>
  <si>
    <t>Bashundhara Oil and Gas Company Refinery</t>
  </si>
  <si>
    <t>Furnace Oil</t>
  </si>
  <si>
    <t>Bangladesh</t>
  </si>
  <si>
    <t>operating</t>
  </si>
  <si>
    <t>IOCL Panipat Refinery</t>
  </si>
  <si>
    <t>India</t>
  </si>
  <si>
    <t>Guru Gobind Singh Refinery</t>
  </si>
  <si>
    <t>IOCL Mathura Refinery</t>
  </si>
  <si>
    <t>IOCL Barauni Refinery</t>
  </si>
  <si>
    <t>IOCL Haldia Refinery</t>
  </si>
  <si>
    <t>PARCO Mid Country (Kot Addu) Refinery</t>
  </si>
  <si>
    <t>Pakistan</t>
  </si>
  <si>
    <t>Attock Refinery</t>
  </si>
  <si>
    <t>National Refinery NRL Refinery</t>
  </si>
  <si>
    <t>Kohinoor Energy</t>
  </si>
  <si>
    <t>furnace oil</t>
  </si>
  <si>
    <t>Rousch Power Limited</t>
  </si>
  <si>
    <t>gas</t>
  </si>
  <si>
    <t>Saba Power Plant</t>
  </si>
  <si>
    <t>Atlas Power Plant</t>
  </si>
  <si>
    <t>SAIF POWER PLANT</t>
  </si>
  <si>
    <t>Orient Power Station</t>
  </si>
  <si>
    <t>Nishat Power Limited</t>
  </si>
  <si>
    <t>Nishat Chunian Power</t>
  </si>
  <si>
    <t>Sapphire Power Plant</t>
  </si>
  <si>
    <t>Halmore Power Station</t>
  </si>
  <si>
    <t>Hubco Narowal Energy</t>
  </si>
  <si>
    <t>Liberty Power Tech</t>
  </si>
  <si>
    <t>Reshma Power</t>
  </si>
  <si>
    <t>Gulf Powergen</t>
  </si>
  <si>
    <t>QATPL</t>
  </si>
  <si>
    <t>RLNG</t>
  </si>
  <si>
    <t>Balloki Power Plant</t>
  </si>
  <si>
    <t>Haveli Bahadur Shah Power Plant</t>
  </si>
  <si>
    <t>Chiniot Power</t>
  </si>
  <si>
    <t>biofuel</t>
  </si>
  <si>
    <t>Nandipur Power Project</t>
  </si>
  <si>
    <t>Japan Power</t>
  </si>
  <si>
    <t>Southern Electric Power</t>
  </si>
  <si>
    <t xml:space="preserve">Panipat Naphtha Cracker </t>
  </si>
  <si>
    <t>Haryana</t>
  </si>
  <si>
    <t>Panipat Naphtha Cracker Phase II expansion</t>
  </si>
  <si>
    <t>Guru Gobind Singh Polymer Addition Project (`GGSPAP’)</t>
  </si>
  <si>
    <t>Punjab</t>
  </si>
  <si>
    <t>Mixed</t>
  </si>
  <si>
    <t>PATA Petrochemical complex</t>
  </si>
  <si>
    <t>Uttar Pradesh</t>
  </si>
  <si>
    <t>Ethane; Propane</t>
  </si>
  <si>
    <t>Haldia Petrochemicals plant</t>
  </si>
  <si>
    <t>West Bengal</t>
  </si>
  <si>
    <t>unit</t>
  </si>
  <si>
    <t>MW</t>
  </si>
  <si>
    <t>announced</t>
  </si>
  <si>
    <t>kt/yr</t>
  </si>
  <si>
    <t>net_energy(GJ)</t>
  </si>
  <si>
    <t>gross_energy(GJ)</t>
  </si>
  <si>
    <t>FOB-1</t>
  </si>
  <si>
    <t>FOI-1</t>
  </si>
  <si>
    <t>FOI-2</t>
  </si>
  <si>
    <t>FOI-3</t>
  </si>
  <si>
    <t>FOI-4</t>
  </si>
  <si>
    <t>FOI-5</t>
  </si>
  <si>
    <t>FOP-1</t>
  </si>
  <si>
    <t>FOP-2</t>
  </si>
  <si>
    <t>FOP-3</t>
  </si>
  <si>
    <t>FOP-4</t>
  </si>
  <si>
    <t>FOP-5</t>
  </si>
  <si>
    <t>FOP-6</t>
  </si>
  <si>
    <t>FOP-7</t>
  </si>
  <si>
    <t>FOP-8</t>
  </si>
  <si>
    <t>FOP-9</t>
  </si>
  <si>
    <t>FOP-10</t>
  </si>
  <si>
    <t>FOP-11</t>
  </si>
  <si>
    <t>FOP-12</t>
  </si>
  <si>
    <t>FOP-13</t>
  </si>
  <si>
    <t>FOP-14</t>
  </si>
  <si>
    <t>FOP-15</t>
  </si>
  <si>
    <t>FOP-16</t>
  </si>
  <si>
    <t>FOP-17</t>
  </si>
  <si>
    <t>FOP-18</t>
  </si>
  <si>
    <t>FOP-19</t>
  </si>
  <si>
    <t>FOP-20</t>
  </si>
  <si>
    <t>FOP-21</t>
  </si>
  <si>
    <t>FOP-22</t>
  </si>
  <si>
    <t>FOP-23</t>
  </si>
  <si>
    <t>FOP-24</t>
  </si>
  <si>
    <t>FOI-13</t>
  </si>
  <si>
    <t>FOI-14</t>
  </si>
  <si>
    <t>FOI-18</t>
  </si>
  <si>
    <t>FOI-19</t>
  </si>
  <si>
    <t>FOI-20</t>
  </si>
  <si>
    <t>capacity_tonnes</t>
  </si>
  <si>
    <t>emfpm10</t>
  </si>
  <si>
    <t>emfpm25</t>
  </si>
  <si>
    <t>pm25_t_yr</t>
  </si>
  <si>
    <t>emfso2</t>
  </si>
  <si>
    <t>so2_t_yr</t>
  </si>
  <si>
    <t>emfnox</t>
  </si>
  <si>
    <t>nox_t_yr</t>
  </si>
  <si>
    <t>Pollutant</t>
  </si>
  <si>
    <t>EF</t>
  </si>
  <si>
    <t>Unit</t>
  </si>
  <si>
    <t>EF normalised (tonnes of pollutant/tonnes of production)</t>
  </si>
  <si>
    <t>Notes</t>
  </si>
  <si>
    <t>PM2.5</t>
  </si>
  <si>
    <t xml:space="preserve"> tonne/000 tonnes</t>
  </si>
  <si>
    <t>SO2</t>
  </si>
  <si>
    <t>NOx</t>
  </si>
  <si>
    <t>PM10*</t>
  </si>
  <si>
    <t>Source</t>
  </si>
  <si>
    <r>
      <rPr>
        <sz val="10"/>
        <rFont val="Arial"/>
        <family val="2"/>
      </rPr>
      <t>Jindamanee, K., Thepanondh, S., Keawboonchu, J., Pinthong, N., &amp; Meeyai, A. (2024). Manifesting the hidden pollutants: Quantifying emissions and environmental impact of petroleum refinery on PM2. 5. </t>
    </r>
    <r>
      <rPr>
        <i/>
        <sz val="10"/>
        <rFont val="Arial"/>
        <family val="2"/>
      </rPr>
      <t>Atmospheric Environment: X</t>
    </r>
    <r>
      <rPr>
        <sz val="10"/>
        <rFont val="Arial"/>
        <family val="2"/>
      </rPr>
      <t> , , 24 , 100300.</t>
    </r>
  </si>
  <si>
    <t>pm10_t_yr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</si>
</sst>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32302C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1" fontId="0" fillId="0" borderId="0" xfId="0" applyNumberFormat="1"/>
    <xf numFmtId="0" fontId="20" fillId="0" borderId="0" xfId="0" applyFont="1"/>
    <xf numFmtId="0" fontId="21" fillId="0" borderId="0" xfId="0" applyFont="1"/>
    <xf numFmtId="3" fontId="20" fillId="0" borderId="0" xfId="0" applyNumberFormat="1" applyFont="1"/>
    <xf numFmtId="0" fontId="22" fillId="0" borderId="0" xfId="0" applyFont="1"/>
    <xf numFmtId="0" fontId="19" fillId="33" borderId="0" xfId="42" applyFill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73C3-E7B7-424C-AE0F-EE71706A1A1C}">
  <dimension ref="A1:BM36"/>
  <sheetViews>
    <sheetView tabSelected="1" topLeftCell="G1" workbookViewId="0">
      <selection activeCell="M2" sqref="M2"/>
    </sheetView>
  </sheetViews>
  <sheetFormatPr defaultRowHeight="14.4" x14ac:dyDescent="0.3"/>
  <cols>
    <col min="2" max="2" width="46.5546875" bestFit="1" customWidth="1"/>
    <col min="5" max="5" width="10.21875" bestFit="1" customWidth="1"/>
    <col min="6" max="6" width="14.33203125" bestFit="1" customWidth="1"/>
    <col min="10" max="10" width="14.33203125" bestFit="1" customWidth="1"/>
    <col min="12" max="12" width="17.33203125" customWidth="1"/>
    <col min="13" max="13" width="13.88671875" bestFit="1" customWidth="1"/>
    <col min="14" max="14" width="9.109375" customWidth="1"/>
    <col min="15" max="15" width="15.6640625" bestFit="1" customWidth="1"/>
    <col min="16" max="16" width="15.6640625" customWidth="1"/>
    <col min="17" max="18" width="12" bestFit="1" customWidth="1"/>
  </cols>
  <sheetData>
    <row r="1" spans="1:22" s="4" customFormat="1" ht="13.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100</v>
      </c>
      <c r="K1" s="3" t="s">
        <v>59</v>
      </c>
      <c r="L1" s="3" t="s">
        <v>64</v>
      </c>
      <c r="M1" s="3" t="s">
        <v>63</v>
      </c>
      <c r="N1" s="3" t="s">
        <v>101</v>
      </c>
      <c r="O1" s="3" t="s">
        <v>120</v>
      </c>
      <c r="P1" s="3" t="s">
        <v>102</v>
      </c>
      <c r="Q1" s="3" t="s">
        <v>103</v>
      </c>
      <c r="R1" s="3" t="s">
        <v>104</v>
      </c>
      <c r="S1" s="3" t="s">
        <v>105</v>
      </c>
      <c r="T1" s="3" t="s">
        <v>106</v>
      </c>
      <c r="U1" s="3" t="s">
        <v>107</v>
      </c>
      <c r="V1" s="3"/>
    </row>
    <row r="2" spans="1:22" s="4" customFormat="1" x14ac:dyDescent="0.3">
      <c r="A2" s="3" t="s">
        <v>65</v>
      </c>
      <c r="B2" s="3" t="s">
        <v>9</v>
      </c>
      <c r="C2" s="3">
        <v>23.668396999999999</v>
      </c>
      <c r="D2" s="3">
        <v>90.442808999999997</v>
      </c>
      <c r="E2" s="3" t="s">
        <v>10</v>
      </c>
      <c r="F2" s="3" t="s">
        <v>24</v>
      </c>
      <c r="G2" s="3"/>
      <c r="H2" s="3" t="s">
        <v>11</v>
      </c>
      <c r="I2" s="3" t="s">
        <v>12</v>
      </c>
      <c r="J2" s="5">
        <v>2200000</v>
      </c>
      <c r="K2" s="3"/>
      <c r="L2" s="3">
        <f>((J2*300)*3.6)</f>
        <v>2376000000</v>
      </c>
      <c r="M2" s="3">
        <f>L2/0.86</f>
        <v>2762790697.6744184</v>
      </c>
      <c r="N2" s="3">
        <f>Sheet1!$D$5</f>
        <v>9.0719999999999994E-8</v>
      </c>
      <c r="O2" s="3">
        <f>N2*M2</f>
        <v>250.64037209302322</v>
      </c>
      <c r="P2" s="6">
        <f>Sheet1!$D$2</f>
        <v>6.9480000000000011E-8</v>
      </c>
      <c r="Q2" s="3">
        <f>M2*P2</f>
        <v>191.95869767441863</v>
      </c>
      <c r="R2" s="3">
        <f>Sheet1!$D$3</f>
        <v>1.782E-6</v>
      </c>
      <c r="S2" s="3">
        <f>M2*R2</f>
        <v>4923.2930232558138</v>
      </c>
      <c r="T2" s="3">
        <f>142*0.001*0.0000036</f>
        <v>5.1120000000000008E-7</v>
      </c>
      <c r="U2" s="3">
        <f>M2*T2</f>
        <v>1412.338604651163</v>
      </c>
      <c r="V2" s="7"/>
    </row>
    <row r="3" spans="1:22" x14ac:dyDescent="0.3">
      <c r="A3" t="s">
        <v>66</v>
      </c>
      <c r="B3" t="s">
        <v>13</v>
      </c>
      <c r="C3">
        <v>29.47308</v>
      </c>
      <c r="D3">
        <v>76.878309999999999</v>
      </c>
      <c r="E3" t="s">
        <v>10</v>
      </c>
      <c r="F3" t="s">
        <v>24</v>
      </c>
      <c r="H3" t="s">
        <v>14</v>
      </c>
      <c r="I3" t="s">
        <v>12</v>
      </c>
      <c r="J3">
        <v>0</v>
      </c>
      <c r="L3" s="3">
        <f t="shared" ref="L3:L36" si="0">((J3*300)*3.6)</f>
        <v>0</v>
      </c>
      <c r="M3">
        <f t="shared" ref="M2:M36" si="1">L3/0.35</f>
        <v>0</v>
      </c>
      <c r="N3" s="3">
        <f>Sheet1!$D$5</f>
        <v>9.0719999999999994E-8</v>
      </c>
      <c r="O3" s="3">
        <f t="shared" ref="O3:O36" si="2">N3*M3</f>
        <v>0</v>
      </c>
      <c r="P3" s="6">
        <f>Sheet1!$D$2</f>
        <v>6.9480000000000011E-8</v>
      </c>
      <c r="Q3" s="3">
        <f t="shared" ref="Q3:Q36" si="3">M3*P3</f>
        <v>0</v>
      </c>
      <c r="R3" s="3">
        <f>Sheet1!$D$3</f>
        <v>1.782E-6</v>
      </c>
      <c r="S3" s="3">
        <f t="shared" ref="S3:S36" si="4">M3*R3</f>
        <v>0</v>
      </c>
      <c r="T3">
        <v>495</v>
      </c>
      <c r="U3">
        <f t="shared" ref="U2:U36" si="5">(T3*M3)/1000000</f>
        <v>0</v>
      </c>
    </row>
    <row r="4" spans="1:22" x14ac:dyDescent="0.3">
      <c r="A4" t="s">
        <v>67</v>
      </c>
      <c r="B4" t="s">
        <v>15</v>
      </c>
      <c r="C4">
        <v>29.923863000000001</v>
      </c>
      <c r="D4">
        <v>74.953333999999998</v>
      </c>
      <c r="E4" t="s">
        <v>10</v>
      </c>
      <c r="F4" t="s">
        <v>24</v>
      </c>
      <c r="H4" t="s">
        <v>14</v>
      </c>
      <c r="I4" t="s">
        <v>12</v>
      </c>
      <c r="J4">
        <v>0</v>
      </c>
      <c r="L4" s="3">
        <f t="shared" si="0"/>
        <v>0</v>
      </c>
      <c r="M4">
        <f t="shared" si="1"/>
        <v>0</v>
      </c>
      <c r="N4" s="3">
        <f>Sheet1!$D$5</f>
        <v>9.0719999999999994E-8</v>
      </c>
      <c r="O4" s="3">
        <f t="shared" si="2"/>
        <v>0</v>
      </c>
      <c r="P4" s="6">
        <f>Sheet1!$D$2</f>
        <v>6.9480000000000011E-8</v>
      </c>
      <c r="Q4" s="3">
        <f t="shared" si="3"/>
        <v>0</v>
      </c>
      <c r="R4" s="3">
        <f>Sheet1!$D$3</f>
        <v>1.782E-6</v>
      </c>
      <c r="S4" s="3">
        <f t="shared" si="4"/>
        <v>0</v>
      </c>
      <c r="T4">
        <v>495</v>
      </c>
      <c r="U4">
        <f t="shared" si="5"/>
        <v>0</v>
      </c>
    </row>
    <row r="5" spans="1:22" x14ac:dyDescent="0.3">
      <c r="A5" t="s">
        <v>68</v>
      </c>
      <c r="B5" t="s">
        <v>16</v>
      </c>
      <c r="C5">
        <v>27.37846</v>
      </c>
      <c r="D5">
        <v>77.686620000000005</v>
      </c>
      <c r="E5" t="s">
        <v>10</v>
      </c>
      <c r="F5" t="s">
        <v>24</v>
      </c>
      <c r="H5" t="s">
        <v>14</v>
      </c>
      <c r="I5" t="s">
        <v>12</v>
      </c>
      <c r="J5">
        <v>0</v>
      </c>
      <c r="L5" s="3">
        <f t="shared" si="0"/>
        <v>0</v>
      </c>
      <c r="M5">
        <f t="shared" si="1"/>
        <v>0</v>
      </c>
      <c r="N5" s="3">
        <f>Sheet1!$D$5</f>
        <v>9.0719999999999994E-8</v>
      </c>
      <c r="O5" s="3">
        <f t="shared" si="2"/>
        <v>0</v>
      </c>
      <c r="P5" s="6">
        <f>Sheet1!$D$2</f>
        <v>6.9480000000000011E-8</v>
      </c>
      <c r="Q5" s="3">
        <f t="shared" si="3"/>
        <v>0</v>
      </c>
      <c r="R5" s="3">
        <f>Sheet1!$D$3</f>
        <v>1.782E-6</v>
      </c>
      <c r="S5" s="3">
        <f t="shared" si="4"/>
        <v>0</v>
      </c>
      <c r="T5">
        <v>495</v>
      </c>
      <c r="U5">
        <f t="shared" si="5"/>
        <v>0</v>
      </c>
    </row>
    <row r="6" spans="1:22" x14ac:dyDescent="0.3">
      <c r="A6" t="s">
        <v>69</v>
      </c>
      <c r="B6" t="s">
        <v>17</v>
      </c>
      <c r="C6">
        <v>25.427779999999998</v>
      </c>
      <c r="D6">
        <v>86.060010000000005</v>
      </c>
      <c r="E6" t="s">
        <v>10</v>
      </c>
      <c r="F6" t="s">
        <v>24</v>
      </c>
      <c r="H6" t="s">
        <v>14</v>
      </c>
      <c r="I6" t="s">
        <v>12</v>
      </c>
      <c r="J6">
        <v>0</v>
      </c>
      <c r="L6" s="3">
        <f t="shared" si="0"/>
        <v>0</v>
      </c>
      <c r="M6">
        <f t="shared" si="1"/>
        <v>0</v>
      </c>
      <c r="N6" s="3">
        <f>Sheet1!$D$5</f>
        <v>9.0719999999999994E-8</v>
      </c>
      <c r="O6" s="3">
        <f t="shared" si="2"/>
        <v>0</v>
      </c>
      <c r="P6" s="6">
        <f>Sheet1!$D$2</f>
        <v>6.9480000000000011E-8</v>
      </c>
      <c r="Q6" s="3">
        <f t="shared" si="3"/>
        <v>0</v>
      </c>
      <c r="R6" s="3">
        <f>Sheet1!$D$3</f>
        <v>1.782E-6</v>
      </c>
      <c r="S6" s="3">
        <f t="shared" si="4"/>
        <v>0</v>
      </c>
      <c r="T6">
        <v>495</v>
      </c>
      <c r="U6">
        <f t="shared" si="5"/>
        <v>0</v>
      </c>
    </row>
    <row r="7" spans="1:22" x14ac:dyDescent="0.3">
      <c r="A7" t="s">
        <v>70</v>
      </c>
      <c r="B7" t="s">
        <v>18</v>
      </c>
      <c r="C7">
        <v>22.045809999999999</v>
      </c>
      <c r="D7">
        <v>88.104330000000004</v>
      </c>
      <c r="E7" t="s">
        <v>10</v>
      </c>
      <c r="F7" t="s">
        <v>24</v>
      </c>
      <c r="H7" t="s">
        <v>14</v>
      </c>
      <c r="I7" t="s">
        <v>12</v>
      </c>
      <c r="J7">
        <v>0</v>
      </c>
      <c r="L7" s="3">
        <f t="shared" si="0"/>
        <v>0</v>
      </c>
      <c r="M7">
        <f t="shared" si="1"/>
        <v>0</v>
      </c>
      <c r="N7" s="3">
        <f>Sheet1!$D$5</f>
        <v>9.0719999999999994E-8</v>
      </c>
      <c r="O7" s="3">
        <f t="shared" si="2"/>
        <v>0</v>
      </c>
      <c r="P7" s="6">
        <f>Sheet1!$D$2</f>
        <v>6.9480000000000011E-8</v>
      </c>
      <c r="Q7" s="3">
        <f t="shared" si="3"/>
        <v>0</v>
      </c>
      <c r="R7" s="3">
        <f>Sheet1!$D$3</f>
        <v>1.782E-6</v>
      </c>
      <c r="S7" s="3">
        <f t="shared" si="4"/>
        <v>0</v>
      </c>
      <c r="T7">
        <v>495</v>
      </c>
      <c r="U7">
        <f t="shared" si="5"/>
        <v>0</v>
      </c>
    </row>
    <row r="8" spans="1:22" x14ac:dyDescent="0.3">
      <c r="A8" t="s">
        <v>95</v>
      </c>
      <c r="B8" t="s">
        <v>48</v>
      </c>
      <c r="C8">
        <v>29.4530463</v>
      </c>
      <c r="D8">
        <v>76.872707500000004</v>
      </c>
      <c r="E8" t="s">
        <v>10</v>
      </c>
      <c r="G8" t="s">
        <v>49</v>
      </c>
      <c r="H8" t="s">
        <v>14</v>
      </c>
      <c r="I8" t="s">
        <v>12</v>
      </c>
      <c r="J8" s="2">
        <f>800*1000</f>
        <v>800000</v>
      </c>
      <c r="K8" t="s">
        <v>62</v>
      </c>
      <c r="L8" s="3">
        <f t="shared" si="0"/>
        <v>864000000</v>
      </c>
      <c r="M8">
        <f t="shared" si="1"/>
        <v>2468571428.5714288</v>
      </c>
      <c r="N8" s="3">
        <f>Sheet1!$D$5</f>
        <v>9.0719999999999994E-8</v>
      </c>
      <c r="O8" s="3">
        <f t="shared" si="2"/>
        <v>223.94880000000001</v>
      </c>
      <c r="P8" s="6">
        <f>Sheet1!$D$2</f>
        <v>6.9480000000000011E-8</v>
      </c>
      <c r="Q8" s="3">
        <f t="shared" si="3"/>
        <v>171.51634285714289</v>
      </c>
      <c r="R8" s="3">
        <f>Sheet1!$D$3</f>
        <v>1.782E-6</v>
      </c>
      <c r="S8" s="3">
        <f t="shared" si="4"/>
        <v>4398.994285714286</v>
      </c>
      <c r="T8">
        <v>495</v>
      </c>
      <c r="U8">
        <f t="shared" si="5"/>
        <v>1221942.8571428573</v>
      </c>
    </row>
    <row r="9" spans="1:22" x14ac:dyDescent="0.3">
      <c r="A9" t="s">
        <v>96</v>
      </c>
      <c r="B9" t="s">
        <v>50</v>
      </c>
      <c r="C9">
        <v>29.4530463</v>
      </c>
      <c r="D9">
        <v>76.872707500000004</v>
      </c>
      <c r="E9" t="s">
        <v>10</v>
      </c>
      <c r="G9" t="s">
        <v>49</v>
      </c>
      <c r="H9" t="s">
        <v>14</v>
      </c>
      <c r="I9" t="s">
        <v>61</v>
      </c>
      <c r="J9" s="2">
        <f>160*1000</f>
        <v>160000</v>
      </c>
      <c r="K9" t="s">
        <v>62</v>
      </c>
      <c r="L9" s="3">
        <f t="shared" si="0"/>
        <v>172800000</v>
      </c>
      <c r="M9">
        <f t="shared" si="1"/>
        <v>493714285.71428573</v>
      </c>
      <c r="N9" s="3">
        <f>Sheet1!$D$5</f>
        <v>9.0719999999999994E-8</v>
      </c>
      <c r="O9" s="3">
        <f t="shared" si="2"/>
        <v>44.789760000000001</v>
      </c>
      <c r="P9" s="6">
        <f>Sheet1!$D$2</f>
        <v>6.9480000000000011E-8</v>
      </c>
      <c r="Q9" s="3">
        <f t="shared" si="3"/>
        <v>34.303268571428575</v>
      </c>
      <c r="R9" s="3">
        <f>Sheet1!$D$3</f>
        <v>1.782E-6</v>
      </c>
      <c r="S9" s="3">
        <f t="shared" si="4"/>
        <v>879.79885714285717</v>
      </c>
      <c r="T9">
        <v>495</v>
      </c>
      <c r="U9">
        <f t="shared" si="5"/>
        <v>244388.57142857145</v>
      </c>
    </row>
    <row r="10" spans="1:22" x14ac:dyDescent="0.3">
      <c r="A10" t="s">
        <v>97</v>
      </c>
      <c r="B10" t="s">
        <v>51</v>
      </c>
      <c r="C10">
        <v>29.928273000000001</v>
      </c>
      <c r="D10">
        <v>74.948007000000004</v>
      </c>
      <c r="E10" t="s">
        <v>10</v>
      </c>
      <c r="F10" t="s">
        <v>53</v>
      </c>
      <c r="G10" t="s">
        <v>52</v>
      </c>
      <c r="H10" t="s">
        <v>14</v>
      </c>
      <c r="I10" t="s">
        <v>12</v>
      </c>
      <c r="J10" s="2">
        <v>1200</v>
      </c>
      <c r="K10" t="s">
        <v>62</v>
      </c>
      <c r="L10" s="3">
        <f t="shared" si="0"/>
        <v>1296000</v>
      </c>
      <c r="M10">
        <f t="shared" si="1"/>
        <v>3702857.1428571432</v>
      </c>
      <c r="N10" s="3">
        <f>Sheet1!$D$5</f>
        <v>9.0719999999999994E-8</v>
      </c>
      <c r="O10" s="3">
        <f t="shared" si="2"/>
        <v>0.33592320000000003</v>
      </c>
      <c r="P10" s="6">
        <f>Sheet1!$D$2</f>
        <v>6.9480000000000011E-8</v>
      </c>
      <c r="Q10" s="3">
        <f t="shared" si="3"/>
        <v>0.25727451428571435</v>
      </c>
      <c r="R10" s="3">
        <f>Sheet1!$D$3</f>
        <v>1.782E-6</v>
      </c>
      <c r="S10" s="3">
        <f t="shared" si="4"/>
        <v>6.5984914285714291</v>
      </c>
      <c r="T10">
        <v>495</v>
      </c>
      <c r="U10">
        <f t="shared" si="5"/>
        <v>1832.9142857142858</v>
      </c>
    </row>
    <row r="11" spans="1:22" x14ac:dyDescent="0.3">
      <c r="A11" t="s">
        <v>98</v>
      </c>
      <c r="B11" t="s">
        <v>54</v>
      </c>
      <c r="C11">
        <v>26.643450999999999</v>
      </c>
      <c r="D11">
        <v>79.488859000000005</v>
      </c>
      <c r="E11" t="s">
        <v>10</v>
      </c>
      <c r="F11" t="s">
        <v>56</v>
      </c>
      <c r="G11" t="s">
        <v>55</v>
      </c>
      <c r="H11" t="s">
        <v>14</v>
      </c>
      <c r="I11" t="s">
        <v>12</v>
      </c>
      <c r="J11" s="2">
        <v>900</v>
      </c>
      <c r="K11" t="s">
        <v>62</v>
      </c>
      <c r="L11" s="3">
        <f t="shared" si="0"/>
        <v>972000</v>
      </c>
      <c r="M11">
        <f t="shared" si="1"/>
        <v>2777142.8571428573</v>
      </c>
      <c r="N11" s="3">
        <f>Sheet1!$D$5</f>
        <v>9.0719999999999994E-8</v>
      </c>
      <c r="O11" s="3">
        <f t="shared" si="2"/>
        <v>0.25194240000000001</v>
      </c>
      <c r="P11" s="6">
        <f>Sheet1!$D$2</f>
        <v>6.9480000000000011E-8</v>
      </c>
      <c r="Q11" s="3">
        <f t="shared" si="3"/>
        <v>0.19295588571428576</v>
      </c>
      <c r="R11" s="3">
        <f>Sheet1!$D$3</f>
        <v>1.782E-6</v>
      </c>
      <c r="S11" s="3">
        <f t="shared" si="4"/>
        <v>4.9488685714285721</v>
      </c>
      <c r="T11">
        <v>495</v>
      </c>
      <c r="U11">
        <f t="shared" si="5"/>
        <v>1374.6857142857143</v>
      </c>
    </row>
    <row r="12" spans="1:22" x14ac:dyDescent="0.3">
      <c r="A12" t="s">
        <v>99</v>
      </c>
      <c r="B12" t="s">
        <v>57</v>
      </c>
      <c r="C12">
        <v>22.06664396</v>
      </c>
      <c r="D12">
        <v>88.10308191</v>
      </c>
      <c r="E12" t="s">
        <v>10</v>
      </c>
      <c r="G12" t="s">
        <v>58</v>
      </c>
      <c r="H12" t="s">
        <v>14</v>
      </c>
      <c r="I12" t="s">
        <v>12</v>
      </c>
      <c r="J12" s="2">
        <v>700</v>
      </c>
      <c r="K12" t="s">
        <v>62</v>
      </c>
      <c r="L12" s="3">
        <f t="shared" si="0"/>
        <v>756000</v>
      </c>
      <c r="M12">
        <f t="shared" si="1"/>
        <v>2160000</v>
      </c>
      <c r="N12" s="3">
        <f>Sheet1!$D$5</f>
        <v>9.0719999999999994E-8</v>
      </c>
      <c r="O12" s="3">
        <f t="shared" si="2"/>
        <v>0.1959552</v>
      </c>
      <c r="P12" s="6">
        <f>Sheet1!$D$2</f>
        <v>6.9480000000000011E-8</v>
      </c>
      <c r="Q12" s="3">
        <f t="shared" si="3"/>
        <v>0.15007680000000001</v>
      </c>
      <c r="R12" s="3">
        <f>Sheet1!$D$3</f>
        <v>1.782E-6</v>
      </c>
      <c r="S12" s="3">
        <f t="shared" si="4"/>
        <v>3.8491200000000001</v>
      </c>
      <c r="T12">
        <v>495</v>
      </c>
      <c r="U12">
        <f t="shared" si="5"/>
        <v>1069.2</v>
      </c>
    </row>
    <row r="13" spans="1:22" x14ac:dyDescent="0.3">
      <c r="A13" t="s">
        <v>71</v>
      </c>
      <c r="B13" t="s">
        <v>19</v>
      </c>
      <c r="C13">
        <v>30.16778</v>
      </c>
      <c r="D13">
        <v>70.932136</v>
      </c>
      <c r="E13" t="s">
        <v>10</v>
      </c>
      <c r="F13" t="s">
        <v>24</v>
      </c>
      <c r="H13" t="s">
        <v>20</v>
      </c>
      <c r="I13" t="s">
        <v>12</v>
      </c>
      <c r="J13">
        <v>0</v>
      </c>
      <c r="L13" s="3">
        <f t="shared" si="0"/>
        <v>0</v>
      </c>
      <c r="M13">
        <f t="shared" si="1"/>
        <v>0</v>
      </c>
      <c r="N13" s="3">
        <f>Sheet1!$D$5</f>
        <v>9.0719999999999994E-8</v>
      </c>
      <c r="O13" s="3">
        <f t="shared" si="2"/>
        <v>0</v>
      </c>
      <c r="P13" s="6">
        <f>Sheet1!$D$2</f>
        <v>6.9480000000000011E-8</v>
      </c>
      <c r="Q13" s="3">
        <f t="shared" si="3"/>
        <v>0</v>
      </c>
      <c r="R13" s="3">
        <f>Sheet1!$D$3</f>
        <v>1.782E-6</v>
      </c>
      <c r="S13" s="3">
        <f t="shared" si="4"/>
        <v>0</v>
      </c>
      <c r="T13">
        <v>495</v>
      </c>
      <c r="U13">
        <f t="shared" si="5"/>
        <v>0</v>
      </c>
    </row>
    <row r="14" spans="1:22" x14ac:dyDescent="0.3">
      <c r="A14" t="s">
        <v>72</v>
      </c>
      <c r="B14" t="s">
        <v>21</v>
      </c>
      <c r="C14">
        <v>33.553570000000001</v>
      </c>
      <c r="D14">
        <v>73.072974000000002</v>
      </c>
      <c r="E14" t="s">
        <v>10</v>
      </c>
      <c r="F14" t="s">
        <v>24</v>
      </c>
      <c r="H14" t="s">
        <v>20</v>
      </c>
      <c r="I14" t="s">
        <v>12</v>
      </c>
      <c r="J14">
        <v>0</v>
      </c>
      <c r="L14" s="3">
        <f t="shared" si="0"/>
        <v>0</v>
      </c>
      <c r="M14">
        <f t="shared" si="1"/>
        <v>0</v>
      </c>
      <c r="N14" s="3">
        <f>Sheet1!$D$5</f>
        <v>9.0719999999999994E-8</v>
      </c>
      <c r="O14" s="3">
        <f t="shared" si="2"/>
        <v>0</v>
      </c>
      <c r="P14" s="6">
        <f>Sheet1!$D$2</f>
        <v>6.9480000000000011E-8</v>
      </c>
      <c r="Q14" s="3">
        <f t="shared" si="3"/>
        <v>0</v>
      </c>
      <c r="R14" s="3">
        <f>Sheet1!$D$3</f>
        <v>1.782E-6</v>
      </c>
      <c r="S14" s="3">
        <f t="shared" si="4"/>
        <v>0</v>
      </c>
      <c r="T14">
        <v>495</v>
      </c>
      <c r="U14">
        <f t="shared" si="5"/>
        <v>0</v>
      </c>
    </row>
    <row r="15" spans="1:22" x14ac:dyDescent="0.3">
      <c r="A15" t="s">
        <v>73</v>
      </c>
      <c r="B15" t="s">
        <v>22</v>
      </c>
      <c r="C15">
        <v>24.846041</v>
      </c>
      <c r="D15">
        <v>67.124187000000006</v>
      </c>
      <c r="E15" t="s">
        <v>10</v>
      </c>
      <c r="F15" t="s">
        <v>24</v>
      </c>
      <c r="H15" t="s">
        <v>20</v>
      </c>
      <c r="I15" t="s">
        <v>12</v>
      </c>
      <c r="J15">
        <v>0</v>
      </c>
      <c r="L15" s="3">
        <f t="shared" si="0"/>
        <v>0</v>
      </c>
      <c r="M15">
        <f t="shared" si="1"/>
        <v>0</v>
      </c>
      <c r="N15" s="3">
        <f>Sheet1!$D$5</f>
        <v>9.0719999999999994E-8</v>
      </c>
      <c r="O15" s="3">
        <f t="shared" si="2"/>
        <v>0</v>
      </c>
      <c r="P15" s="6">
        <f>Sheet1!$D$2</f>
        <v>6.9480000000000011E-8</v>
      </c>
      <c r="Q15" s="3">
        <f t="shared" si="3"/>
        <v>0</v>
      </c>
      <c r="R15" s="3">
        <f>Sheet1!$D$3</f>
        <v>1.782E-6</v>
      </c>
      <c r="S15" s="3">
        <f t="shared" si="4"/>
        <v>0</v>
      </c>
      <c r="T15">
        <v>495</v>
      </c>
      <c r="U15">
        <f t="shared" si="5"/>
        <v>0</v>
      </c>
    </row>
    <row r="16" spans="1:22" x14ac:dyDescent="0.3">
      <c r="A16" t="s">
        <v>74</v>
      </c>
      <c r="B16" t="s">
        <v>23</v>
      </c>
      <c r="C16">
        <v>31.263200000000001</v>
      </c>
      <c r="D16">
        <v>74.1874818</v>
      </c>
      <c r="E16" t="s">
        <v>10</v>
      </c>
      <c r="F16" t="s">
        <v>24</v>
      </c>
      <c r="H16" t="s">
        <v>20</v>
      </c>
      <c r="I16" t="s">
        <v>12</v>
      </c>
      <c r="J16">
        <v>1244</v>
      </c>
      <c r="K16" t="s">
        <v>60</v>
      </c>
      <c r="L16" s="3">
        <f t="shared" si="0"/>
        <v>1343520</v>
      </c>
      <c r="M16">
        <f t="shared" si="1"/>
        <v>3838628.5714285718</v>
      </c>
      <c r="N16" s="3">
        <f>Sheet1!$D$5</f>
        <v>9.0719999999999994E-8</v>
      </c>
      <c r="O16" s="3">
        <f t="shared" si="2"/>
        <v>0.34824038400000001</v>
      </c>
      <c r="P16" s="6">
        <f>Sheet1!$D$2</f>
        <v>6.9480000000000011E-8</v>
      </c>
      <c r="Q16" s="3">
        <f t="shared" si="3"/>
        <v>0.26670791314285719</v>
      </c>
      <c r="R16" s="3">
        <f>Sheet1!$D$3</f>
        <v>1.782E-6</v>
      </c>
      <c r="S16" s="3">
        <f t="shared" si="4"/>
        <v>6.8404361142857155</v>
      </c>
      <c r="T16">
        <v>495</v>
      </c>
      <c r="U16">
        <f t="shared" si="5"/>
        <v>1900.1211428571432</v>
      </c>
    </row>
    <row r="17" spans="1:57" x14ac:dyDescent="0.3">
      <c r="A17" t="s">
        <v>75</v>
      </c>
      <c r="B17" t="s">
        <v>25</v>
      </c>
      <c r="C17">
        <v>30.569074000000001</v>
      </c>
      <c r="D17">
        <v>72.143899000000005</v>
      </c>
      <c r="E17" t="s">
        <v>10</v>
      </c>
      <c r="F17" t="s">
        <v>26</v>
      </c>
      <c r="H17" t="s">
        <v>20</v>
      </c>
      <c r="I17" t="s">
        <v>12</v>
      </c>
      <c r="J17">
        <v>450</v>
      </c>
      <c r="K17" t="s">
        <v>60</v>
      </c>
      <c r="L17" s="3">
        <f t="shared" si="0"/>
        <v>486000</v>
      </c>
      <c r="M17">
        <f t="shared" si="1"/>
        <v>1388571.4285714286</v>
      </c>
      <c r="N17" s="3">
        <f>Sheet1!$D$5</f>
        <v>9.0719999999999994E-8</v>
      </c>
      <c r="O17" s="3">
        <f t="shared" si="2"/>
        <v>0.12597120000000001</v>
      </c>
      <c r="P17" s="6">
        <f>Sheet1!$D$2</f>
        <v>6.9480000000000011E-8</v>
      </c>
      <c r="Q17" s="3">
        <f t="shared" si="3"/>
        <v>9.6477942857142882E-2</v>
      </c>
      <c r="R17" s="3">
        <f>Sheet1!$D$3</f>
        <v>1.782E-6</v>
      </c>
      <c r="S17" s="3">
        <f t="shared" si="4"/>
        <v>2.474434285714286</v>
      </c>
      <c r="T17">
        <v>0.253</v>
      </c>
      <c r="U17">
        <f t="shared" si="5"/>
        <v>0.35130857142857141</v>
      </c>
    </row>
    <row r="18" spans="1:57" x14ac:dyDescent="0.3">
      <c r="A18" t="s">
        <v>76</v>
      </c>
      <c r="B18" t="s">
        <v>27</v>
      </c>
      <c r="C18">
        <v>31.733073999999998</v>
      </c>
      <c r="D18">
        <v>73.873509900000002</v>
      </c>
      <c r="E18" t="s">
        <v>10</v>
      </c>
      <c r="F18" t="s">
        <v>24</v>
      </c>
      <c r="H18" t="s">
        <v>20</v>
      </c>
      <c r="I18" t="s">
        <v>12</v>
      </c>
      <c r="J18">
        <v>134</v>
      </c>
      <c r="K18" t="s">
        <v>60</v>
      </c>
      <c r="L18" s="3">
        <f t="shared" si="0"/>
        <v>144720</v>
      </c>
      <c r="M18">
        <f t="shared" si="1"/>
        <v>413485.71428571432</v>
      </c>
      <c r="N18" s="3">
        <f>Sheet1!$D$5</f>
        <v>9.0719999999999994E-8</v>
      </c>
      <c r="O18" s="3">
        <f t="shared" si="2"/>
        <v>3.7511424000000002E-2</v>
      </c>
      <c r="P18" s="6">
        <f>Sheet1!$D$2</f>
        <v>6.9480000000000011E-8</v>
      </c>
      <c r="Q18" s="3">
        <f t="shared" si="3"/>
        <v>2.8728987428571436E-2</v>
      </c>
      <c r="R18" s="3">
        <f>Sheet1!$D$3</f>
        <v>1.782E-6</v>
      </c>
      <c r="S18" s="3">
        <f t="shared" si="4"/>
        <v>0.73683154285714292</v>
      </c>
      <c r="T18">
        <v>495</v>
      </c>
      <c r="U18">
        <f t="shared" si="5"/>
        <v>204.6754285714286</v>
      </c>
    </row>
    <row r="19" spans="1:57" x14ac:dyDescent="0.3">
      <c r="A19" t="s">
        <v>77</v>
      </c>
      <c r="B19" t="s">
        <v>28</v>
      </c>
      <c r="C19">
        <v>31.678384999999999</v>
      </c>
      <c r="D19">
        <v>74.085086500000003</v>
      </c>
      <c r="E19" t="s">
        <v>10</v>
      </c>
      <c r="F19" t="s">
        <v>24</v>
      </c>
      <c r="H19" t="s">
        <v>20</v>
      </c>
      <c r="I19" t="s">
        <v>12</v>
      </c>
      <c r="J19">
        <v>225</v>
      </c>
      <c r="K19" t="s">
        <v>60</v>
      </c>
      <c r="L19" s="3">
        <f t="shared" si="0"/>
        <v>243000</v>
      </c>
      <c r="M19">
        <f t="shared" si="1"/>
        <v>694285.71428571432</v>
      </c>
      <c r="N19" s="3">
        <f>Sheet1!$D$5</f>
        <v>9.0719999999999994E-8</v>
      </c>
      <c r="O19" s="3">
        <f t="shared" si="2"/>
        <v>6.2985600000000003E-2</v>
      </c>
      <c r="P19" s="6">
        <f>Sheet1!$D$2</f>
        <v>6.9480000000000011E-8</v>
      </c>
      <c r="Q19" s="3">
        <f t="shared" si="3"/>
        <v>4.8238971428571441E-2</v>
      </c>
      <c r="R19" s="3">
        <f>Sheet1!$D$3</f>
        <v>1.782E-6</v>
      </c>
      <c r="S19" s="3">
        <f t="shared" si="4"/>
        <v>1.237217142857143</v>
      </c>
      <c r="T19">
        <v>495</v>
      </c>
      <c r="U19">
        <f t="shared" si="5"/>
        <v>343.67142857142858</v>
      </c>
      <c r="AG19" s="1"/>
      <c r="AO19" s="1"/>
      <c r="AW19" s="1"/>
      <c r="BE19" s="1"/>
    </row>
    <row r="20" spans="1:57" x14ac:dyDescent="0.3">
      <c r="A20" t="s">
        <v>78</v>
      </c>
      <c r="B20" t="s">
        <v>29</v>
      </c>
      <c r="C20">
        <v>30.696210000000001</v>
      </c>
      <c r="D20">
        <v>73.260595100000003</v>
      </c>
      <c r="E20" t="s">
        <v>10</v>
      </c>
      <c r="F20" t="s">
        <v>26</v>
      </c>
      <c r="H20" t="s">
        <v>20</v>
      </c>
      <c r="I20" t="s">
        <v>12</v>
      </c>
      <c r="J20">
        <v>225</v>
      </c>
      <c r="K20" t="s">
        <v>60</v>
      </c>
      <c r="L20" s="3">
        <f t="shared" si="0"/>
        <v>243000</v>
      </c>
      <c r="M20">
        <f t="shared" si="1"/>
        <v>694285.71428571432</v>
      </c>
      <c r="N20" s="3">
        <f>Sheet1!$D$5</f>
        <v>9.0719999999999994E-8</v>
      </c>
      <c r="O20" s="3">
        <f t="shared" si="2"/>
        <v>6.2985600000000003E-2</v>
      </c>
      <c r="P20" s="6">
        <f>Sheet1!$D$2</f>
        <v>6.9480000000000011E-8</v>
      </c>
      <c r="Q20" s="3">
        <f t="shared" si="3"/>
        <v>4.8238971428571441E-2</v>
      </c>
      <c r="R20" s="3">
        <f>Sheet1!$D$3</f>
        <v>1.782E-6</v>
      </c>
      <c r="S20" s="3">
        <f t="shared" si="4"/>
        <v>1.237217142857143</v>
      </c>
      <c r="T20">
        <v>0.253</v>
      </c>
      <c r="U20">
        <f t="shared" si="5"/>
        <v>0.17565428571428571</v>
      </c>
      <c r="AG20" s="1"/>
    </row>
    <row r="21" spans="1:57" x14ac:dyDescent="0.3">
      <c r="A21" t="s">
        <v>79</v>
      </c>
      <c r="B21" t="s">
        <v>30</v>
      </c>
      <c r="C21">
        <v>31.187860000000001</v>
      </c>
      <c r="D21">
        <v>73.890052299999994</v>
      </c>
      <c r="E21" t="s">
        <v>10</v>
      </c>
      <c r="F21" t="s">
        <v>26</v>
      </c>
      <c r="H21" t="s">
        <v>20</v>
      </c>
      <c r="I21" t="s">
        <v>12</v>
      </c>
      <c r="J21">
        <v>225</v>
      </c>
      <c r="K21" t="s">
        <v>60</v>
      </c>
      <c r="L21" s="3">
        <f t="shared" si="0"/>
        <v>243000</v>
      </c>
      <c r="M21">
        <f t="shared" si="1"/>
        <v>694285.71428571432</v>
      </c>
      <c r="N21" s="3">
        <f>Sheet1!$D$5</f>
        <v>9.0719999999999994E-8</v>
      </c>
      <c r="O21" s="3">
        <f t="shared" si="2"/>
        <v>6.2985600000000003E-2</v>
      </c>
      <c r="P21" s="6">
        <f>Sheet1!$D$2</f>
        <v>6.9480000000000011E-8</v>
      </c>
      <c r="Q21" s="3">
        <f t="shared" si="3"/>
        <v>4.8238971428571441E-2</v>
      </c>
      <c r="R21" s="3">
        <f>Sheet1!$D$3</f>
        <v>1.782E-6</v>
      </c>
      <c r="S21" s="3">
        <f t="shared" si="4"/>
        <v>1.237217142857143</v>
      </c>
      <c r="T21">
        <v>0.253</v>
      </c>
      <c r="U21">
        <f t="shared" si="5"/>
        <v>0.17565428571428571</v>
      </c>
      <c r="AG21" s="1"/>
      <c r="AO21" s="1"/>
      <c r="AW21" s="1"/>
      <c r="BE21" s="1"/>
    </row>
    <row r="22" spans="1:57" x14ac:dyDescent="0.3">
      <c r="A22" t="s">
        <v>80</v>
      </c>
      <c r="B22" t="s">
        <v>31</v>
      </c>
      <c r="C22">
        <v>31.122247999999999</v>
      </c>
      <c r="D22">
        <v>73.905394099999995</v>
      </c>
      <c r="E22" t="s">
        <v>10</v>
      </c>
      <c r="F22" t="s">
        <v>24</v>
      </c>
      <c r="H22" t="s">
        <v>20</v>
      </c>
      <c r="I22" t="s">
        <v>12</v>
      </c>
      <c r="J22">
        <v>195</v>
      </c>
      <c r="K22" t="s">
        <v>60</v>
      </c>
      <c r="L22" s="3">
        <f t="shared" si="0"/>
        <v>210600</v>
      </c>
      <c r="M22">
        <f t="shared" si="1"/>
        <v>601714.2857142858</v>
      </c>
      <c r="N22" s="3">
        <f>Sheet1!$D$5</f>
        <v>9.0719999999999994E-8</v>
      </c>
      <c r="O22" s="3">
        <f t="shared" si="2"/>
        <v>5.4587520000000007E-2</v>
      </c>
      <c r="P22" s="6">
        <f>Sheet1!$D$2</f>
        <v>6.9480000000000011E-8</v>
      </c>
      <c r="Q22" s="3">
        <f t="shared" si="3"/>
        <v>4.1807108571428581E-2</v>
      </c>
      <c r="R22" s="3">
        <f>Sheet1!$D$3</f>
        <v>1.782E-6</v>
      </c>
      <c r="S22" s="3">
        <f t="shared" si="4"/>
        <v>1.0722548571428574</v>
      </c>
      <c r="T22">
        <v>495</v>
      </c>
      <c r="U22">
        <f t="shared" si="5"/>
        <v>297.84857142857146</v>
      </c>
      <c r="AG22" s="1"/>
    </row>
    <row r="23" spans="1:57" x14ac:dyDescent="0.3">
      <c r="A23" t="s">
        <v>81</v>
      </c>
      <c r="B23" t="s">
        <v>32</v>
      </c>
      <c r="C23">
        <v>31.123387000000001</v>
      </c>
      <c r="D23">
        <v>73.9053045</v>
      </c>
      <c r="E23" t="s">
        <v>10</v>
      </c>
      <c r="F23" t="s">
        <v>24</v>
      </c>
      <c r="H23" t="s">
        <v>20</v>
      </c>
      <c r="I23" t="s">
        <v>12</v>
      </c>
      <c r="J23">
        <v>195</v>
      </c>
      <c r="K23" t="s">
        <v>60</v>
      </c>
      <c r="L23" s="3">
        <f t="shared" si="0"/>
        <v>210600</v>
      </c>
      <c r="M23">
        <f t="shared" si="1"/>
        <v>601714.2857142858</v>
      </c>
      <c r="N23" s="3">
        <f>Sheet1!$D$5</f>
        <v>9.0719999999999994E-8</v>
      </c>
      <c r="O23" s="3">
        <f t="shared" si="2"/>
        <v>5.4587520000000007E-2</v>
      </c>
      <c r="P23" s="6">
        <f>Sheet1!$D$2</f>
        <v>6.9480000000000011E-8</v>
      </c>
      <c r="Q23" s="3">
        <f t="shared" si="3"/>
        <v>4.1807108571428581E-2</v>
      </c>
      <c r="R23" s="3">
        <f>Sheet1!$D$3</f>
        <v>1.782E-6</v>
      </c>
      <c r="S23" s="3">
        <f t="shared" si="4"/>
        <v>1.0722548571428574</v>
      </c>
      <c r="T23">
        <v>495</v>
      </c>
      <c r="U23">
        <f t="shared" si="5"/>
        <v>297.84857142857146</v>
      </c>
      <c r="AG23" s="1"/>
    </row>
    <row r="24" spans="1:57" x14ac:dyDescent="0.3">
      <c r="A24" t="s">
        <v>82</v>
      </c>
      <c r="B24" t="s">
        <v>33</v>
      </c>
      <c r="C24">
        <v>31.760857999999999</v>
      </c>
      <c r="D24">
        <v>74.033399799999998</v>
      </c>
      <c r="E24" t="s">
        <v>10</v>
      </c>
      <c r="F24" t="s">
        <v>26</v>
      </c>
      <c r="H24" t="s">
        <v>20</v>
      </c>
      <c r="I24" t="s">
        <v>12</v>
      </c>
      <c r="J24">
        <v>225</v>
      </c>
      <c r="K24" t="s">
        <v>60</v>
      </c>
      <c r="L24" s="3">
        <f t="shared" si="0"/>
        <v>243000</v>
      </c>
      <c r="M24">
        <f t="shared" si="1"/>
        <v>694285.71428571432</v>
      </c>
      <c r="N24" s="3">
        <f>Sheet1!$D$5</f>
        <v>9.0719999999999994E-8</v>
      </c>
      <c r="O24" s="3">
        <f t="shared" si="2"/>
        <v>6.2985600000000003E-2</v>
      </c>
      <c r="P24" s="6">
        <f>Sheet1!$D$2</f>
        <v>6.9480000000000011E-8</v>
      </c>
      <c r="Q24" s="3">
        <f t="shared" si="3"/>
        <v>4.8238971428571441E-2</v>
      </c>
      <c r="R24" s="3">
        <f>Sheet1!$D$3</f>
        <v>1.782E-6</v>
      </c>
      <c r="S24" s="3">
        <f t="shared" si="4"/>
        <v>1.237217142857143</v>
      </c>
      <c r="T24">
        <v>0.253</v>
      </c>
      <c r="U24">
        <f t="shared" si="5"/>
        <v>0.17565428571428571</v>
      </c>
      <c r="AG24" s="1"/>
    </row>
    <row r="25" spans="1:57" x14ac:dyDescent="0.3">
      <c r="A25" t="s">
        <v>83</v>
      </c>
      <c r="B25" t="s">
        <v>34</v>
      </c>
      <c r="C25">
        <v>31.633140999999998</v>
      </c>
      <c r="D25">
        <v>73.870310799999999</v>
      </c>
      <c r="E25" t="s">
        <v>10</v>
      </c>
      <c r="F25" t="s">
        <v>26</v>
      </c>
      <c r="H25" t="s">
        <v>20</v>
      </c>
      <c r="I25" t="s">
        <v>12</v>
      </c>
      <c r="J25">
        <v>225</v>
      </c>
      <c r="K25" t="s">
        <v>60</v>
      </c>
      <c r="L25" s="3">
        <f t="shared" si="0"/>
        <v>243000</v>
      </c>
      <c r="M25">
        <f t="shared" si="1"/>
        <v>694285.71428571432</v>
      </c>
      <c r="N25" s="3">
        <f>Sheet1!$D$5</f>
        <v>9.0719999999999994E-8</v>
      </c>
      <c r="O25" s="3">
        <f t="shared" si="2"/>
        <v>6.2985600000000003E-2</v>
      </c>
      <c r="P25" s="6">
        <f>Sheet1!$D$2</f>
        <v>6.9480000000000011E-8</v>
      </c>
      <c r="Q25" s="3">
        <f t="shared" si="3"/>
        <v>4.8238971428571441E-2</v>
      </c>
      <c r="R25" s="3">
        <f>Sheet1!$D$3</f>
        <v>1.782E-6</v>
      </c>
      <c r="S25" s="3">
        <f t="shared" si="4"/>
        <v>1.237217142857143</v>
      </c>
      <c r="T25">
        <v>0.253</v>
      </c>
      <c r="U25">
        <f t="shared" si="5"/>
        <v>0.17565428571428571</v>
      </c>
      <c r="AG25" s="1"/>
    </row>
    <row r="26" spans="1:57" x14ac:dyDescent="0.3">
      <c r="A26" t="s">
        <v>84</v>
      </c>
      <c r="B26" t="s">
        <v>35</v>
      </c>
      <c r="C26">
        <v>32.059081999999997</v>
      </c>
      <c r="D26">
        <v>74.781274800000006</v>
      </c>
      <c r="E26" t="s">
        <v>10</v>
      </c>
      <c r="F26" t="s">
        <v>24</v>
      </c>
      <c r="H26" t="s">
        <v>20</v>
      </c>
      <c r="I26" t="s">
        <v>12</v>
      </c>
      <c r="J26">
        <v>214</v>
      </c>
      <c r="K26" t="s">
        <v>60</v>
      </c>
      <c r="L26" s="3">
        <f t="shared" si="0"/>
        <v>231120</v>
      </c>
      <c r="M26">
        <f t="shared" si="1"/>
        <v>660342.85714285716</v>
      </c>
      <c r="N26" s="3">
        <f>Sheet1!$D$5</f>
        <v>9.0719999999999994E-8</v>
      </c>
      <c r="O26" s="3">
        <f t="shared" si="2"/>
        <v>5.9906304E-2</v>
      </c>
      <c r="P26" s="6">
        <f>Sheet1!$D$2</f>
        <v>6.9480000000000011E-8</v>
      </c>
      <c r="Q26" s="3">
        <f t="shared" si="3"/>
        <v>4.5880621714285724E-2</v>
      </c>
      <c r="R26" s="3">
        <f>Sheet1!$D$3</f>
        <v>1.782E-6</v>
      </c>
      <c r="S26" s="3">
        <f t="shared" si="4"/>
        <v>1.1767309714285714</v>
      </c>
      <c r="T26">
        <v>495</v>
      </c>
      <c r="U26">
        <f t="shared" si="5"/>
        <v>326.86971428571428</v>
      </c>
      <c r="AG26" s="1"/>
    </row>
    <row r="27" spans="1:57" x14ac:dyDescent="0.3">
      <c r="A27" t="s">
        <v>85</v>
      </c>
      <c r="B27" t="s">
        <v>36</v>
      </c>
      <c r="C27">
        <v>31.699591999999999</v>
      </c>
      <c r="D27">
        <v>73.210920999999999</v>
      </c>
      <c r="E27" t="s">
        <v>10</v>
      </c>
      <c r="F27" t="s">
        <v>24</v>
      </c>
      <c r="H27" t="s">
        <v>20</v>
      </c>
      <c r="I27" t="s">
        <v>12</v>
      </c>
      <c r="J27">
        <v>200</v>
      </c>
      <c r="K27" t="s">
        <v>60</v>
      </c>
      <c r="L27" s="3">
        <f t="shared" si="0"/>
        <v>216000</v>
      </c>
      <c r="M27">
        <f t="shared" si="1"/>
        <v>617142.85714285716</v>
      </c>
      <c r="N27" s="3">
        <f>Sheet1!$D$5</f>
        <v>9.0719999999999994E-8</v>
      </c>
      <c r="O27" s="3">
        <f t="shared" si="2"/>
        <v>5.5987200000000001E-2</v>
      </c>
      <c r="P27" s="6">
        <f>Sheet1!$D$2</f>
        <v>6.9480000000000011E-8</v>
      </c>
      <c r="Q27" s="3">
        <f t="shared" si="3"/>
        <v>4.2879085714285725E-2</v>
      </c>
      <c r="R27" s="3">
        <f>Sheet1!$D$3</f>
        <v>1.782E-6</v>
      </c>
      <c r="S27" s="3">
        <f t="shared" si="4"/>
        <v>1.0997485714285715</v>
      </c>
      <c r="T27">
        <v>495</v>
      </c>
      <c r="U27">
        <f t="shared" si="5"/>
        <v>305.48571428571427</v>
      </c>
      <c r="AG27" s="1"/>
    </row>
    <row r="28" spans="1:57" x14ac:dyDescent="0.3">
      <c r="A28" t="s">
        <v>86</v>
      </c>
      <c r="B28" t="s">
        <v>37</v>
      </c>
      <c r="C28">
        <v>31.246171</v>
      </c>
      <c r="D28">
        <v>74.177849199999997</v>
      </c>
      <c r="E28" t="s">
        <v>10</v>
      </c>
      <c r="F28" t="s">
        <v>24</v>
      </c>
      <c r="H28" t="s">
        <v>20</v>
      </c>
      <c r="I28" t="s">
        <v>12</v>
      </c>
      <c r="J28">
        <v>96</v>
      </c>
      <c r="K28" t="s">
        <v>60</v>
      </c>
      <c r="L28" s="3">
        <f t="shared" si="0"/>
        <v>103680</v>
      </c>
      <c r="M28">
        <f t="shared" si="1"/>
        <v>296228.57142857142</v>
      </c>
      <c r="N28" s="3">
        <f>Sheet1!$D$5</f>
        <v>9.0719999999999994E-8</v>
      </c>
      <c r="O28" s="3">
        <f t="shared" si="2"/>
        <v>2.6873855999999998E-2</v>
      </c>
      <c r="P28" s="6">
        <f>Sheet1!$D$2</f>
        <v>6.9480000000000011E-8</v>
      </c>
      <c r="Q28" s="3">
        <f t="shared" si="3"/>
        <v>2.0581961142857146E-2</v>
      </c>
      <c r="R28" s="3">
        <f>Sheet1!$D$3</f>
        <v>1.782E-6</v>
      </c>
      <c r="S28" s="3">
        <f t="shared" si="4"/>
        <v>0.52787931428571433</v>
      </c>
      <c r="T28">
        <v>495</v>
      </c>
      <c r="U28">
        <f t="shared" si="5"/>
        <v>146.63314285714287</v>
      </c>
      <c r="AG28" s="1"/>
      <c r="AO28" s="1"/>
    </row>
    <row r="29" spans="1:57" x14ac:dyDescent="0.3">
      <c r="A29" t="s">
        <v>87</v>
      </c>
      <c r="B29" t="s">
        <v>38</v>
      </c>
      <c r="C29">
        <v>32.062449000000001</v>
      </c>
      <c r="D29">
        <v>74.238869600000001</v>
      </c>
      <c r="E29" t="s">
        <v>10</v>
      </c>
      <c r="F29" t="s">
        <v>24</v>
      </c>
      <c r="H29" t="s">
        <v>20</v>
      </c>
      <c r="I29" t="s">
        <v>12</v>
      </c>
      <c r="J29">
        <v>85</v>
      </c>
      <c r="K29" t="s">
        <v>60</v>
      </c>
      <c r="L29" s="3">
        <f t="shared" si="0"/>
        <v>91800</v>
      </c>
      <c r="M29">
        <f t="shared" si="1"/>
        <v>262285.71428571432</v>
      </c>
      <c r="N29" s="3">
        <f>Sheet1!$D$5</f>
        <v>9.0719999999999994E-8</v>
      </c>
      <c r="O29" s="3">
        <f t="shared" si="2"/>
        <v>2.3794560000000003E-2</v>
      </c>
      <c r="P29" s="6">
        <f>Sheet1!$D$2</f>
        <v>6.9480000000000011E-8</v>
      </c>
      <c r="Q29" s="3">
        <f t="shared" si="3"/>
        <v>1.8223611428571432E-2</v>
      </c>
      <c r="R29" s="3">
        <f>Sheet1!$D$3</f>
        <v>1.782E-6</v>
      </c>
      <c r="S29" s="3">
        <f t="shared" si="4"/>
        <v>0.46739314285714295</v>
      </c>
      <c r="T29">
        <v>495</v>
      </c>
      <c r="U29">
        <f t="shared" si="5"/>
        <v>129.83142857142857</v>
      </c>
      <c r="AG29" s="1"/>
    </row>
    <row r="30" spans="1:57" x14ac:dyDescent="0.3">
      <c r="A30" t="s">
        <v>88</v>
      </c>
      <c r="B30" t="s">
        <v>39</v>
      </c>
      <c r="C30">
        <v>31.605906999999998</v>
      </c>
      <c r="D30">
        <v>73.905887300000003</v>
      </c>
      <c r="E30" t="s">
        <v>10</v>
      </c>
      <c r="F30" t="s">
        <v>40</v>
      </c>
      <c r="H30" t="s">
        <v>20</v>
      </c>
      <c r="I30" t="s">
        <v>12</v>
      </c>
      <c r="J30">
        <v>1180</v>
      </c>
      <c r="K30" t="s">
        <v>60</v>
      </c>
      <c r="L30" s="3">
        <f t="shared" si="0"/>
        <v>1274400</v>
      </c>
      <c r="M30">
        <f t="shared" si="1"/>
        <v>3641142.8571428573</v>
      </c>
      <c r="N30" s="3">
        <f>Sheet1!$D$5</f>
        <v>9.0719999999999994E-8</v>
      </c>
      <c r="O30" s="3">
        <f t="shared" si="2"/>
        <v>0.33032447999999998</v>
      </c>
      <c r="P30" s="6">
        <f>Sheet1!$D$2</f>
        <v>6.9480000000000011E-8</v>
      </c>
      <c r="Q30" s="3">
        <f t="shared" si="3"/>
        <v>0.25298660571428577</v>
      </c>
      <c r="R30" s="3">
        <f>Sheet1!$D$3</f>
        <v>1.782E-6</v>
      </c>
      <c r="S30" s="3">
        <f t="shared" si="4"/>
        <v>6.4885165714285717</v>
      </c>
      <c r="T30">
        <v>0.253</v>
      </c>
      <c r="U30">
        <f t="shared" si="5"/>
        <v>0.92120914285714295</v>
      </c>
      <c r="AG30" s="1"/>
    </row>
    <row r="31" spans="1:57" x14ac:dyDescent="0.3">
      <c r="A31" t="s">
        <v>89</v>
      </c>
      <c r="B31" t="s">
        <v>41</v>
      </c>
      <c r="C31">
        <v>31.03867</v>
      </c>
      <c r="D31">
        <v>73.924773000000002</v>
      </c>
      <c r="E31" t="s">
        <v>10</v>
      </c>
      <c r="F31" t="s">
        <v>40</v>
      </c>
      <c r="H31" t="s">
        <v>20</v>
      </c>
      <c r="I31" t="s">
        <v>12</v>
      </c>
      <c r="J31">
        <v>1223</v>
      </c>
      <c r="K31" t="s">
        <v>60</v>
      </c>
      <c r="L31" s="3">
        <f t="shared" si="0"/>
        <v>1320840</v>
      </c>
      <c r="M31">
        <f t="shared" si="1"/>
        <v>3773828.5714285718</v>
      </c>
      <c r="N31" s="3">
        <f>Sheet1!$D$5</f>
        <v>9.0719999999999994E-8</v>
      </c>
      <c r="O31" s="3">
        <f t="shared" si="2"/>
        <v>0.34236172800000003</v>
      </c>
      <c r="P31" s="6">
        <f>Sheet1!$D$2</f>
        <v>6.9480000000000011E-8</v>
      </c>
      <c r="Q31" s="3">
        <f t="shared" si="3"/>
        <v>0.26220560914285723</v>
      </c>
      <c r="R31" s="3">
        <f>Sheet1!$D$3</f>
        <v>1.782E-6</v>
      </c>
      <c r="S31" s="3">
        <f t="shared" si="4"/>
        <v>6.724962514285715</v>
      </c>
      <c r="T31">
        <v>0.253</v>
      </c>
      <c r="U31">
        <f t="shared" si="5"/>
        <v>0.9547786285714287</v>
      </c>
      <c r="AG31" s="1"/>
      <c r="AO31" s="1"/>
      <c r="AW31" s="1"/>
    </row>
    <row r="32" spans="1:57" x14ac:dyDescent="0.3">
      <c r="A32" t="s">
        <v>90</v>
      </c>
      <c r="B32" t="s">
        <v>42</v>
      </c>
      <c r="C32">
        <v>31.126387000000001</v>
      </c>
      <c r="D32">
        <v>72.191330100000002</v>
      </c>
      <c r="E32" t="s">
        <v>10</v>
      </c>
      <c r="F32" t="s">
        <v>40</v>
      </c>
      <c r="H32" t="s">
        <v>20</v>
      </c>
      <c r="I32" t="s">
        <v>12</v>
      </c>
      <c r="J32">
        <v>1230</v>
      </c>
      <c r="K32" t="s">
        <v>60</v>
      </c>
      <c r="L32" s="3">
        <f t="shared" si="0"/>
        <v>1328400</v>
      </c>
      <c r="M32">
        <f t="shared" si="1"/>
        <v>3795428.5714285718</v>
      </c>
      <c r="N32" s="3">
        <f>Sheet1!$D$5</f>
        <v>9.0719999999999994E-8</v>
      </c>
      <c r="O32" s="3">
        <f t="shared" si="2"/>
        <v>0.34432128000000001</v>
      </c>
      <c r="P32" s="6">
        <f>Sheet1!$D$2</f>
        <v>6.9480000000000011E-8</v>
      </c>
      <c r="Q32" s="3">
        <f t="shared" si="3"/>
        <v>0.26370637714285722</v>
      </c>
      <c r="R32" s="3">
        <f>Sheet1!$D$3</f>
        <v>1.782E-6</v>
      </c>
      <c r="S32" s="3">
        <f t="shared" si="4"/>
        <v>6.7634537142857152</v>
      </c>
      <c r="T32">
        <v>0.253</v>
      </c>
      <c r="U32">
        <f t="shared" si="5"/>
        <v>0.96024342857142864</v>
      </c>
      <c r="AG32" s="1"/>
    </row>
    <row r="33" spans="1:65" x14ac:dyDescent="0.3">
      <c r="A33" t="s">
        <v>91</v>
      </c>
      <c r="B33" t="s">
        <v>43</v>
      </c>
      <c r="C33">
        <v>31.611397</v>
      </c>
      <c r="D33">
        <v>72.760783200000006</v>
      </c>
      <c r="E33" t="s">
        <v>10</v>
      </c>
      <c r="F33" t="s">
        <v>44</v>
      </c>
      <c r="H33" t="s">
        <v>20</v>
      </c>
      <c r="I33" t="s">
        <v>12</v>
      </c>
      <c r="J33">
        <v>62</v>
      </c>
      <c r="K33" t="s">
        <v>60</v>
      </c>
      <c r="L33" s="3">
        <f t="shared" si="0"/>
        <v>66960</v>
      </c>
      <c r="M33">
        <f t="shared" si="1"/>
        <v>191314.28571428574</v>
      </c>
      <c r="N33" s="3">
        <f>Sheet1!$D$5</f>
        <v>9.0719999999999994E-8</v>
      </c>
      <c r="O33" s="3">
        <f t="shared" si="2"/>
        <v>1.7356032E-2</v>
      </c>
      <c r="P33" s="6">
        <f>Sheet1!$D$2</f>
        <v>6.9480000000000011E-8</v>
      </c>
      <c r="Q33" s="3">
        <f t="shared" si="3"/>
        <v>1.3292516571428575E-2</v>
      </c>
      <c r="R33" s="3">
        <f>Sheet1!$D$3</f>
        <v>1.782E-6</v>
      </c>
      <c r="S33" s="3">
        <f t="shared" si="4"/>
        <v>0.34092205714285717</v>
      </c>
      <c r="T33">
        <v>10.8</v>
      </c>
      <c r="U33">
        <f t="shared" si="5"/>
        <v>2.0661942857142863</v>
      </c>
      <c r="AG33" s="1"/>
    </row>
    <row r="34" spans="1:65" x14ac:dyDescent="0.3">
      <c r="A34" t="s">
        <v>92</v>
      </c>
      <c r="B34" t="s">
        <v>45</v>
      </c>
      <c r="C34">
        <v>32.242589000000002</v>
      </c>
      <c r="D34">
        <v>74.269122699999997</v>
      </c>
      <c r="E34" t="s">
        <v>10</v>
      </c>
      <c r="F34" t="s">
        <v>24</v>
      </c>
      <c r="H34" t="s">
        <v>20</v>
      </c>
      <c r="I34" t="s">
        <v>12</v>
      </c>
      <c r="J34">
        <v>425</v>
      </c>
      <c r="K34" t="s">
        <v>60</v>
      </c>
      <c r="L34" s="3">
        <f t="shared" si="0"/>
        <v>459000</v>
      </c>
      <c r="M34">
        <f t="shared" si="1"/>
        <v>1311428.5714285716</v>
      </c>
      <c r="N34" s="3">
        <f>Sheet1!$D$5</f>
        <v>9.0719999999999994E-8</v>
      </c>
      <c r="O34" s="3">
        <f t="shared" si="2"/>
        <v>0.1189728</v>
      </c>
      <c r="P34" s="6">
        <f>Sheet1!$D$2</f>
        <v>6.9480000000000011E-8</v>
      </c>
      <c r="Q34" s="3">
        <f t="shared" si="3"/>
        <v>9.1118057142857173E-2</v>
      </c>
      <c r="R34" s="3">
        <f>Sheet1!$D$3</f>
        <v>1.782E-6</v>
      </c>
      <c r="S34" s="3">
        <f t="shared" si="4"/>
        <v>2.3369657142857148</v>
      </c>
      <c r="T34">
        <v>495</v>
      </c>
      <c r="U34">
        <f t="shared" si="5"/>
        <v>649.15714285714296</v>
      </c>
      <c r="AG34" s="1"/>
    </row>
    <row r="35" spans="1:65" x14ac:dyDescent="0.3">
      <c r="A35" t="s">
        <v>93</v>
      </c>
      <c r="B35" t="s">
        <v>46</v>
      </c>
      <c r="C35">
        <v>31.325543</v>
      </c>
      <c r="D35">
        <v>74.262315599999994</v>
      </c>
      <c r="E35" t="s">
        <v>10</v>
      </c>
      <c r="F35" t="s">
        <v>24</v>
      </c>
      <c r="H35" t="s">
        <v>20</v>
      </c>
      <c r="I35" t="s">
        <v>12</v>
      </c>
      <c r="J35">
        <v>135</v>
      </c>
      <c r="K35" t="s">
        <v>60</v>
      </c>
      <c r="L35" s="3">
        <f t="shared" si="0"/>
        <v>145800</v>
      </c>
      <c r="M35">
        <f t="shared" si="1"/>
        <v>416571.42857142858</v>
      </c>
      <c r="N35" s="3">
        <f>Sheet1!$D$5</f>
        <v>9.0719999999999994E-8</v>
      </c>
      <c r="O35" s="3">
        <f t="shared" si="2"/>
        <v>3.7791359999999996E-2</v>
      </c>
      <c r="P35" s="6">
        <f>Sheet1!$D$2</f>
        <v>6.9480000000000011E-8</v>
      </c>
      <c r="Q35" s="3">
        <f t="shared" si="3"/>
        <v>2.8943382857142864E-2</v>
      </c>
      <c r="R35" s="3">
        <f>Sheet1!$D$3</f>
        <v>1.782E-6</v>
      </c>
      <c r="S35" s="3">
        <f t="shared" si="4"/>
        <v>0.74233028571428572</v>
      </c>
      <c r="T35">
        <v>495</v>
      </c>
      <c r="U35">
        <f t="shared" si="5"/>
        <v>206.20285714285714</v>
      </c>
      <c r="AG35" s="1"/>
    </row>
    <row r="36" spans="1:65" x14ac:dyDescent="0.3">
      <c r="A36" t="s">
        <v>94</v>
      </c>
      <c r="B36" t="s">
        <v>47</v>
      </c>
      <c r="C36">
        <v>31.291530999999999</v>
      </c>
      <c r="D36">
        <v>74.249531899999994</v>
      </c>
      <c r="E36" t="s">
        <v>10</v>
      </c>
      <c r="F36" t="s">
        <v>24</v>
      </c>
      <c r="H36" t="s">
        <v>20</v>
      </c>
      <c r="I36" t="s">
        <v>12</v>
      </c>
      <c r="J36">
        <v>136</v>
      </c>
      <c r="K36" t="s">
        <v>60</v>
      </c>
      <c r="L36" s="3">
        <f t="shared" si="0"/>
        <v>146880</v>
      </c>
      <c r="M36">
        <f t="shared" si="1"/>
        <v>419657.1428571429</v>
      </c>
      <c r="N36" s="3">
        <f>Sheet1!$D$5</f>
        <v>9.0719999999999994E-8</v>
      </c>
      <c r="O36" s="3">
        <f t="shared" si="2"/>
        <v>3.8071296000000004E-2</v>
      </c>
      <c r="P36" s="6">
        <f>Sheet1!$D$2</f>
        <v>6.9480000000000011E-8</v>
      </c>
      <c r="Q36" s="3">
        <f t="shared" si="3"/>
        <v>2.9157778285714295E-2</v>
      </c>
      <c r="R36" s="3">
        <f>Sheet1!$D$3</f>
        <v>1.782E-6</v>
      </c>
      <c r="S36" s="3">
        <f t="shared" si="4"/>
        <v>0.74782902857142863</v>
      </c>
      <c r="T36">
        <v>495</v>
      </c>
      <c r="U36">
        <f t="shared" si="5"/>
        <v>207.73028571428574</v>
      </c>
      <c r="AG36" s="1"/>
      <c r="AO36" s="1"/>
      <c r="AW36" s="1"/>
      <c r="BE36" s="1"/>
      <c r="BM36" s="1"/>
    </row>
  </sheetData>
  <sortState xmlns:xlrd2="http://schemas.microsoft.com/office/spreadsheetml/2017/richdata2" ref="A2:Y36">
    <sortCondition ref="H1:H36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C59A-8FF8-43DB-B6C9-1CE304B4DB75}">
  <dimension ref="A1:E10"/>
  <sheetViews>
    <sheetView workbookViewId="0">
      <selection activeCell="D3" sqref="D3"/>
    </sheetView>
  </sheetViews>
  <sheetFormatPr defaultRowHeight="14.4" x14ac:dyDescent="0.3"/>
  <cols>
    <col min="3" max="3" width="17.5546875" customWidth="1"/>
    <col min="4" max="4" width="25.5546875" customWidth="1"/>
  </cols>
  <sheetData>
    <row r="1" spans="1:5" x14ac:dyDescent="0.3">
      <c r="A1" s="8" t="s">
        <v>108</v>
      </c>
      <c r="B1" s="8" t="s">
        <v>109</v>
      </c>
      <c r="C1" s="8" t="s">
        <v>110</v>
      </c>
      <c r="D1" s="8" t="s">
        <v>111</v>
      </c>
      <c r="E1" s="3" t="s">
        <v>112</v>
      </c>
    </row>
    <row r="2" spans="1:5" x14ac:dyDescent="0.3">
      <c r="A2" s="8" t="s">
        <v>113</v>
      </c>
      <c r="B2" s="8">
        <f>19.3*0.0000036</f>
        <v>6.9480000000000006E-5</v>
      </c>
      <c r="C2" s="8" t="s">
        <v>114</v>
      </c>
      <c r="D2" s="8">
        <f>B2/1000</f>
        <v>6.9480000000000011E-8</v>
      </c>
      <c r="E2" s="3"/>
    </row>
    <row r="3" spans="1:5" x14ac:dyDescent="0.3">
      <c r="A3" s="8" t="s">
        <v>115</v>
      </c>
      <c r="B3" s="8">
        <f>495*0.0000036</f>
        <v>1.7819999999999999E-3</v>
      </c>
      <c r="C3" s="8" t="s">
        <v>114</v>
      </c>
      <c r="D3" s="8">
        <f t="shared" ref="D3:D5" si="0">B3/1000</f>
        <v>1.782E-6</v>
      </c>
      <c r="E3" s="3"/>
    </row>
    <row r="4" spans="1:5" x14ac:dyDescent="0.3">
      <c r="A4" s="8" t="s">
        <v>116</v>
      </c>
      <c r="B4" s="8">
        <f>142*0.0000036</f>
        <v>5.1119999999999996E-4</v>
      </c>
      <c r="C4" s="8" t="s">
        <v>114</v>
      </c>
      <c r="D4" s="8">
        <f t="shared" si="0"/>
        <v>5.1119999999999997E-7</v>
      </c>
      <c r="E4" s="3"/>
    </row>
    <row r="5" spans="1:5" x14ac:dyDescent="0.3">
      <c r="A5" s="8" t="s">
        <v>117</v>
      </c>
      <c r="B5" s="8">
        <f>25.2*0.0000036</f>
        <v>9.0719999999999999E-5</v>
      </c>
      <c r="C5" s="8" t="s">
        <v>114</v>
      </c>
      <c r="D5" s="8">
        <f t="shared" si="0"/>
        <v>9.0719999999999994E-8</v>
      </c>
      <c r="E5" s="3"/>
    </row>
    <row r="6" spans="1:5" x14ac:dyDescent="0.3">
      <c r="A6" s="3"/>
      <c r="B6" s="3"/>
      <c r="C6" s="3"/>
      <c r="D6" s="3"/>
      <c r="E6" s="3"/>
    </row>
    <row r="7" spans="1:5" x14ac:dyDescent="0.3">
      <c r="A7" s="3"/>
      <c r="B7" s="3"/>
      <c r="C7" s="3"/>
      <c r="D7" s="3"/>
      <c r="E7" s="3"/>
    </row>
    <row r="8" spans="1:5" x14ac:dyDescent="0.3">
      <c r="A8" s="3"/>
      <c r="B8" s="3"/>
      <c r="C8" s="3"/>
      <c r="D8" s="3"/>
      <c r="E8" s="3"/>
    </row>
    <row r="9" spans="1:5" x14ac:dyDescent="0.3">
      <c r="A9" s="3"/>
      <c r="B9" s="3"/>
      <c r="C9" s="3"/>
      <c r="D9" s="3"/>
      <c r="E9" s="3"/>
    </row>
    <row r="10" spans="1:5" ht="409.6" x14ac:dyDescent="0.3">
      <c r="A10" s="9" t="s">
        <v>118</v>
      </c>
      <c r="B10" s="10" t="s">
        <v>119</v>
      </c>
      <c r="C10" s="3"/>
      <c r="D10" s="3"/>
      <c r="E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Furnace_oil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Khizer Zakir</dc:creator>
  <cp:lastModifiedBy>Zakir Khizer</cp:lastModifiedBy>
  <dcterms:created xsi:type="dcterms:W3CDTF">2025-09-06T10:34:27Z</dcterms:created>
  <dcterms:modified xsi:type="dcterms:W3CDTF">2025-11-10T10:47:08Z</dcterms:modified>
</cp:coreProperties>
</file>