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IGP\Asset_Data_IGP\Furnace Oil\"/>
    </mc:Choice>
  </mc:AlternateContent>
  <xr:revisionPtr revIDLastSave="0" documentId="8_{FBE67F42-3E40-48DC-9FA1-8ADC72E85FFD}" xr6:coauthVersionLast="47" xr6:coauthVersionMax="47" xr10:uidLastSave="{00000000-0000-0000-0000-000000000000}"/>
  <bookViews>
    <workbookView xWindow="-108" yWindow="-108" windowWidth="23256" windowHeight="12456" xr2:uid="{2F11A81A-845F-431B-8CDC-CE95FF8D0AC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P15" i="1"/>
  <c r="N15" i="1"/>
  <c r="L15" i="1"/>
  <c r="M15" i="1" s="1"/>
  <c r="R14" i="1"/>
  <c r="P14" i="1"/>
  <c r="N14" i="1"/>
  <c r="L14" i="1"/>
  <c r="M14" i="1" s="1"/>
  <c r="R13" i="1"/>
  <c r="P13" i="1"/>
  <c r="N13" i="1"/>
  <c r="L13" i="1"/>
  <c r="M13" i="1" s="1"/>
  <c r="R12" i="1"/>
  <c r="P12" i="1"/>
  <c r="N12" i="1"/>
  <c r="L12" i="1"/>
  <c r="M12" i="1" s="1"/>
  <c r="U12" i="1" s="1"/>
  <c r="R11" i="1"/>
  <c r="P11" i="1"/>
  <c r="N11" i="1"/>
  <c r="L11" i="1"/>
  <c r="M11" i="1" s="1"/>
  <c r="R10" i="1"/>
  <c r="P10" i="1"/>
  <c r="N10" i="1"/>
  <c r="L10" i="1"/>
  <c r="M10" i="1" s="1"/>
  <c r="R9" i="1"/>
  <c r="P9" i="1"/>
  <c r="N9" i="1"/>
  <c r="J9" i="1"/>
  <c r="L9" i="1" s="1"/>
  <c r="M9" i="1" s="1"/>
  <c r="R8" i="1"/>
  <c r="P8" i="1"/>
  <c r="N8" i="1"/>
  <c r="J8" i="1"/>
  <c r="L8" i="1" s="1"/>
  <c r="M8" i="1" s="1"/>
  <c r="R7" i="1"/>
  <c r="P7" i="1"/>
  <c r="N7" i="1"/>
  <c r="L7" i="1"/>
  <c r="M7" i="1" s="1"/>
  <c r="U7" i="1" s="1"/>
  <c r="R6" i="1"/>
  <c r="P6" i="1"/>
  <c r="N6" i="1"/>
  <c r="L6" i="1"/>
  <c r="M6" i="1" s="1"/>
  <c r="R5" i="1"/>
  <c r="P5" i="1"/>
  <c r="N5" i="1"/>
  <c r="L5" i="1"/>
  <c r="M5" i="1" s="1"/>
  <c r="R4" i="1"/>
  <c r="P4" i="1"/>
  <c r="N4" i="1"/>
  <c r="L4" i="1"/>
  <c r="M4" i="1" s="1"/>
  <c r="R3" i="1"/>
  <c r="P3" i="1"/>
  <c r="N3" i="1"/>
  <c r="L3" i="1"/>
  <c r="M3" i="1" s="1"/>
  <c r="T2" i="1"/>
  <c r="R2" i="1"/>
  <c r="P2" i="1"/>
  <c r="N2" i="1"/>
  <c r="O2" i="1" s="1"/>
  <c r="L2" i="1"/>
  <c r="M2" i="1" s="1"/>
  <c r="U2" i="1" s="1"/>
  <c r="O5" i="1" l="1"/>
  <c r="Q5" i="1"/>
  <c r="U5" i="1"/>
  <c r="Q10" i="1"/>
  <c r="U10" i="1"/>
  <c r="O7" i="1"/>
  <c r="O10" i="1"/>
  <c r="Q12" i="1"/>
  <c r="S10" i="1"/>
  <c r="O12" i="1"/>
  <c r="S12" i="1"/>
  <c r="Q7" i="1"/>
  <c r="S5" i="1"/>
  <c r="U6" i="1"/>
  <c r="S6" i="1"/>
  <c r="O6" i="1"/>
  <c r="Q6" i="1"/>
  <c r="U4" i="1"/>
  <c r="S4" i="1"/>
  <c r="Q4" i="1"/>
  <c r="U11" i="1"/>
  <c r="S11" i="1"/>
  <c r="Q11" i="1"/>
  <c r="O9" i="1"/>
  <c r="O13" i="1"/>
  <c r="O11" i="1"/>
  <c r="U13" i="1"/>
  <c r="S13" i="1"/>
  <c r="Q13" i="1"/>
  <c r="U8" i="1"/>
  <c r="S8" i="1"/>
  <c r="Q8" i="1"/>
  <c r="U15" i="1"/>
  <c r="S15" i="1"/>
  <c r="Q15" i="1"/>
  <c r="U9" i="1"/>
  <c r="S9" i="1"/>
  <c r="Q9" i="1"/>
  <c r="Q3" i="1"/>
  <c r="O3" i="1"/>
  <c r="S3" i="1"/>
  <c r="U3" i="1"/>
  <c r="O14" i="1"/>
  <c r="O8" i="1"/>
  <c r="O15" i="1"/>
  <c r="O4" i="1"/>
  <c r="U14" i="1"/>
  <c r="S14" i="1"/>
  <c r="Q14" i="1"/>
  <c r="Q2" i="1"/>
  <c r="S7" i="1"/>
  <c r="S2" i="1"/>
</calcChain>
</file>

<file path=xl/sharedStrings.xml><?xml version="1.0" encoding="utf-8"?>
<sst xmlns="http://schemas.openxmlformats.org/spreadsheetml/2006/main" count="112" uniqueCount="63">
  <si>
    <t>FOB-1</t>
  </si>
  <si>
    <t>Bashundhara Oil and Gas Company Refinery</t>
  </si>
  <si>
    <t>Furnace Oil</t>
  </si>
  <si>
    <t>furnace oil</t>
  </si>
  <si>
    <t>Bangladesh</t>
  </si>
  <si>
    <t>operating</t>
  </si>
  <si>
    <t>FOI-1</t>
  </si>
  <si>
    <t>IOCL Panipat Refinery</t>
  </si>
  <si>
    <t>India</t>
  </si>
  <si>
    <t>FOI-2</t>
  </si>
  <si>
    <t>Guru Gobind Singh Refinery</t>
  </si>
  <si>
    <t>FOI-3</t>
  </si>
  <si>
    <t>IOCL Mathura Refinery</t>
  </si>
  <si>
    <t>FOI-4</t>
  </si>
  <si>
    <t>IOCL Barauni Refinery</t>
  </si>
  <si>
    <t>FOI-5</t>
  </si>
  <si>
    <t>IOCL Haldia Refinery</t>
  </si>
  <si>
    <t>FOI-13</t>
  </si>
  <si>
    <t xml:space="preserve">Panipat Naphtha Cracker </t>
  </si>
  <si>
    <t>Haryana</t>
  </si>
  <si>
    <t>kt/yr</t>
  </si>
  <si>
    <t>FOI-14</t>
  </si>
  <si>
    <t>Panipat Naphtha Cracker Phase II expansion</t>
  </si>
  <si>
    <t>announced</t>
  </si>
  <si>
    <t>FOI-18</t>
  </si>
  <si>
    <t>Guru Gobind Singh Polymer Addition Project (`GGSPAP’)</t>
  </si>
  <si>
    <t>Mixed</t>
  </si>
  <si>
    <t>Punjab</t>
  </si>
  <si>
    <t>FOI-19</t>
  </si>
  <si>
    <t>PATA Petrochemical complex</t>
  </si>
  <si>
    <t>Ethane; Propane</t>
  </si>
  <si>
    <t>Uttar Pradesh</t>
  </si>
  <si>
    <t>FOI-20</t>
  </si>
  <si>
    <t>Haldia Petrochemicals plant</t>
  </si>
  <si>
    <t>West Bengal</t>
  </si>
  <si>
    <t>FOP-1</t>
  </si>
  <si>
    <t>PARCO Mid Country (Kot Addu) Refinery</t>
  </si>
  <si>
    <t>Pakistan</t>
  </si>
  <si>
    <t>FOP-2</t>
  </si>
  <si>
    <t>Attock Refinery</t>
  </si>
  <si>
    <t>FOP-3</t>
  </si>
  <si>
    <t>National Refinery NRL Refinery</t>
  </si>
  <si>
    <t>id</t>
  </si>
  <si>
    <t>name</t>
  </si>
  <si>
    <t>lat</t>
  </si>
  <si>
    <t>lon</t>
  </si>
  <si>
    <t>type</t>
  </si>
  <si>
    <t>fuel</t>
  </si>
  <si>
    <t>state</t>
  </si>
  <si>
    <t>country</t>
  </si>
  <si>
    <t>status</t>
  </si>
  <si>
    <t>unit</t>
  </si>
  <si>
    <t>gross_energy(GJ)</t>
  </si>
  <si>
    <t>net_energy(GJ)</t>
  </si>
  <si>
    <t>emfpm10</t>
  </si>
  <si>
    <t>pm10_t_yr</t>
  </si>
  <si>
    <t>emfpm25</t>
  </si>
  <si>
    <t>pm25_t_yr</t>
  </si>
  <si>
    <t>emfso2</t>
  </si>
  <si>
    <t>so2_t_yr</t>
  </si>
  <si>
    <t>emfnox</t>
  </si>
  <si>
    <t>nox_t_yr</t>
  </si>
  <si>
    <t>capacity_tonnes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</si>
</sst>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32302C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3" fontId="1" fillId="0" borderId="0" xfId="0" applyNumberFormat="1" applyFont="1"/>
    <xf numFmtId="0" fontId="2" fillId="0" borderId="0" xfId="0" applyFont="1"/>
    <xf numFmtId="0" fontId="3" fillId="2" borderId="0" xfId="1" applyFill="1"/>
    <xf numFmtId="0" fontId="4" fillId="0" borderId="0" xfId="0" applyFont="1"/>
    <xf numFmtId="0" fontId="0" fillId="2" borderId="0" xfId="0" applyFill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PAD_oxford\Final_Dataset_Folder\dataset\APAD-Asset-Data\Asset%20Data\IGP\Asset_Data_IGP\Furnace%20Oil\furnace_oil_thermal_power_plant_main.xlsx" TargetMode="External"/><Relationship Id="rId1" Type="http://schemas.openxmlformats.org/officeDocument/2006/relationships/externalLinkPath" Target="furnace_oil_thermal_power_plant_ma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rnace_oil"/>
      <sheetName val="Sheet1"/>
    </sheetNames>
    <sheetDataSet>
      <sheetData sheetId="0"/>
      <sheetData sheetId="1">
        <row r="2">
          <cell r="D2">
            <v>6.9480000000000011E-8</v>
          </cell>
        </row>
        <row r="3">
          <cell r="D3">
            <v>1.782E-6</v>
          </cell>
        </row>
        <row r="5">
          <cell r="D5">
            <v>9.0719999999999994E-8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3050-A0EC-4780-9F4A-581E788B8475}">
  <dimension ref="A1:V15"/>
  <sheetViews>
    <sheetView tabSelected="1" workbookViewId="0">
      <selection activeCell="M7" sqref="M7"/>
    </sheetView>
  </sheetViews>
  <sheetFormatPr defaultRowHeight="14.4" x14ac:dyDescent="0.3"/>
  <cols>
    <col min="10" max="10" width="13.88671875" bestFit="1" customWidth="1"/>
    <col min="12" max="12" width="15.88671875" bestFit="1" customWidth="1"/>
  </cols>
  <sheetData>
    <row r="1" spans="1:22" s="6" customFormat="1" ht="13.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62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/>
    </row>
    <row r="2" spans="1:22" s="6" customFormat="1" x14ac:dyDescent="0.3">
      <c r="A2" s="1" t="s">
        <v>0</v>
      </c>
      <c r="B2" s="2" t="s">
        <v>1</v>
      </c>
      <c r="C2" s="1">
        <v>23.668396999999999</v>
      </c>
      <c r="D2" s="1">
        <v>90.442808999999997</v>
      </c>
      <c r="E2" s="1" t="s">
        <v>2</v>
      </c>
      <c r="F2" s="1" t="s">
        <v>3</v>
      </c>
      <c r="G2" s="1"/>
      <c r="H2" s="1" t="s">
        <v>4</v>
      </c>
      <c r="I2" s="1" t="s">
        <v>5</v>
      </c>
      <c r="J2" s="3">
        <v>2200000</v>
      </c>
      <c r="K2" s="1"/>
      <c r="L2" s="1">
        <f>((J2*24)*3.6)</f>
        <v>190080000</v>
      </c>
      <c r="M2" s="1">
        <f>L2/0.86</f>
        <v>221023255.81395349</v>
      </c>
      <c r="N2" s="1">
        <f>[1]Sheet1!$D$5</f>
        <v>9.0719999999999994E-8</v>
      </c>
      <c r="O2" s="1">
        <f>J2*N2</f>
        <v>0.19958399999999998</v>
      </c>
      <c r="P2" s="4">
        <f>[1]Sheet1!$D$2</f>
        <v>6.9480000000000011E-8</v>
      </c>
      <c r="Q2" s="1">
        <f>M2*P2</f>
        <v>15.356695813953491</v>
      </c>
      <c r="R2" s="1">
        <f>[1]Sheet1!$D$3</f>
        <v>1.782E-6</v>
      </c>
      <c r="S2" s="1">
        <f>M2*R2</f>
        <v>393.86344186046512</v>
      </c>
      <c r="T2" s="1">
        <f>142*0.001*0.0000036</f>
        <v>5.1120000000000008E-7</v>
      </c>
      <c r="U2" s="1">
        <f>M2*T2</f>
        <v>112.98708837209304</v>
      </c>
      <c r="V2" s="5"/>
    </row>
    <row r="3" spans="1:22" x14ac:dyDescent="0.3">
      <c r="A3" t="s">
        <v>6</v>
      </c>
      <c r="B3" s="7" t="s">
        <v>7</v>
      </c>
      <c r="C3">
        <v>29.47308</v>
      </c>
      <c r="D3">
        <v>76.878309999999999</v>
      </c>
      <c r="E3" t="s">
        <v>2</v>
      </c>
      <c r="F3" t="s">
        <v>3</v>
      </c>
      <c r="H3" t="s">
        <v>8</v>
      </c>
      <c r="I3" t="s">
        <v>5</v>
      </c>
      <c r="J3">
        <v>0</v>
      </c>
      <c r="L3" s="1">
        <f>((J3*300)*3.6)</f>
        <v>0</v>
      </c>
      <c r="M3">
        <f>L3/0.35</f>
        <v>0</v>
      </c>
      <c r="N3" s="1">
        <f>[1]Sheet1!$D$5</f>
        <v>9.0719999999999994E-8</v>
      </c>
      <c r="O3" s="1">
        <f>N3*M3</f>
        <v>0</v>
      </c>
      <c r="P3" s="4">
        <f>[1]Sheet1!$D$2</f>
        <v>6.9480000000000011E-8</v>
      </c>
      <c r="Q3" s="1">
        <f>M3*P3</f>
        <v>0</v>
      </c>
      <c r="R3" s="1">
        <f>[1]Sheet1!$D$3</f>
        <v>1.782E-6</v>
      </c>
      <c r="S3" s="1">
        <f>M3*R3</f>
        <v>0</v>
      </c>
      <c r="T3">
        <v>495</v>
      </c>
      <c r="U3">
        <f>(T3*M3)/1000000</f>
        <v>0</v>
      </c>
    </row>
    <row r="4" spans="1:22" x14ac:dyDescent="0.3">
      <c r="A4" t="s">
        <v>9</v>
      </c>
      <c r="B4" s="7" t="s">
        <v>10</v>
      </c>
      <c r="C4">
        <v>29.923863000000001</v>
      </c>
      <c r="D4">
        <v>74.953333999999998</v>
      </c>
      <c r="E4" t="s">
        <v>2</v>
      </c>
      <c r="F4" t="s">
        <v>3</v>
      </c>
      <c r="H4" t="s">
        <v>8</v>
      </c>
      <c r="I4" t="s">
        <v>5</v>
      </c>
      <c r="J4">
        <v>0</v>
      </c>
      <c r="L4" s="1">
        <f>((J4*300)*3.6)</f>
        <v>0</v>
      </c>
      <c r="M4">
        <f>L4/0.35</f>
        <v>0</v>
      </c>
      <c r="N4" s="1">
        <f>[1]Sheet1!$D$5</f>
        <v>9.0719999999999994E-8</v>
      </c>
      <c r="O4" s="1">
        <f>N4*M4</f>
        <v>0</v>
      </c>
      <c r="P4" s="4">
        <f>[1]Sheet1!$D$2</f>
        <v>6.9480000000000011E-8</v>
      </c>
      <c r="Q4" s="1">
        <f>M4*P4</f>
        <v>0</v>
      </c>
      <c r="R4" s="1">
        <f>[1]Sheet1!$D$3</f>
        <v>1.782E-6</v>
      </c>
      <c r="S4" s="1">
        <f>M4*R4</f>
        <v>0</v>
      </c>
      <c r="T4">
        <v>495</v>
      </c>
      <c r="U4">
        <f>(T4*M4)/1000000</f>
        <v>0</v>
      </c>
    </row>
    <row r="5" spans="1:22" x14ac:dyDescent="0.3">
      <c r="A5" t="s">
        <v>11</v>
      </c>
      <c r="B5" s="7" t="s">
        <v>12</v>
      </c>
      <c r="C5">
        <v>27.37846</v>
      </c>
      <c r="D5">
        <v>77.686620000000005</v>
      </c>
      <c r="E5" t="s">
        <v>2</v>
      </c>
      <c r="F5" t="s">
        <v>3</v>
      </c>
      <c r="H5" t="s">
        <v>8</v>
      </c>
      <c r="I5" t="s">
        <v>5</v>
      </c>
      <c r="J5">
        <v>0</v>
      </c>
      <c r="L5" s="1">
        <f>((J5*300)*3.6)</f>
        <v>0</v>
      </c>
      <c r="M5">
        <f>L5/0.35</f>
        <v>0</v>
      </c>
      <c r="N5" s="1">
        <f>[1]Sheet1!$D$5</f>
        <v>9.0719999999999994E-8</v>
      </c>
      <c r="O5" s="1">
        <f>N5*M5</f>
        <v>0</v>
      </c>
      <c r="P5" s="4">
        <f>[1]Sheet1!$D$2</f>
        <v>6.9480000000000011E-8</v>
      </c>
      <c r="Q5" s="1">
        <f>M5*P5</f>
        <v>0</v>
      </c>
      <c r="R5" s="1">
        <f>[1]Sheet1!$D$3</f>
        <v>1.782E-6</v>
      </c>
      <c r="S5" s="1">
        <f>M5*R5</f>
        <v>0</v>
      </c>
      <c r="T5">
        <v>495</v>
      </c>
      <c r="U5">
        <f>(T5*M5)/1000000</f>
        <v>0</v>
      </c>
    </row>
    <row r="6" spans="1:22" x14ac:dyDescent="0.3">
      <c r="A6" t="s">
        <v>13</v>
      </c>
      <c r="B6" s="7" t="s">
        <v>14</v>
      </c>
      <c r="C6">
        <v>25.427779999999998</v>
      </c>
      <c r="D6">
        <v>86.060010000000005</v>
      </c>
      <c r="E6" t="s">
        <v>2</v>
      </c>
      <c r="F6" t="s">
        <v>3</v>
      </c>
      <c r="H6" t="s">
        <v>8</v>
      </c>
      <c r="I6" t="s">
        <v>5</v>
      </c>
      <c r="J6">
        <v>0</v>
      </c>
      <c r="L6" s="1">
        <f>((J6*300)*3.6)</f>
        <v>0</v>
      </c>
      <c r="M6">
        <f>L6/0.35</f>
        <v>0</v>
      </c>
      <c r="N6" s="1">
        <f>[1]Sheet1!$D$5</f>
        <v>9.0719999999999994E-8</v>
      </c>
      <c r="O6" s="1">
        <f>N6*M6</f>
        <v>0</v>
      </c>
      <c r="P6" s="4">
        <f>[1]Sheet1!$D$2</f>
        <v>6.9480000000000011E-8</v>
      </c>
      <c r="Q6" s="1">
        <f>M6*P6</f>
        <v>0</v>
      </c>
      <c r="R6" s="1">
        <f>[1]Sheet1!$D$3</f>
        <v>1.782E-6</v>
      </c>
      <c r="S6" s="1">
        <f>M6*R6</f>
        <v>0</v>
      </c>
      <c r="T6">
        <v>495</v>
      </c>
      <c r="U6">
        <f>(T6*M6)/1000000</f>
        <v>0</v>
      </c>
    </row>
    <row r="7" spans="1:22" x14ac:dyDescent="0.3">
      <c r="A7" t="s">
        <v>15</v>
      </c>
      <c r="B7" s="7" t="s">
        <v>16</v>
      </c>
      <c r="C7">
        <v>22.045809999999999</v>
      </c>
      <c r="D7">
        <v>88.104330000000004</v>
      </c>
      <c r="E7" t="s">
        <v>2</v>
      </c>
      <c r="F7" t="s">
        <v>3</v>
      </c>
      <c r="H7" t="s">
        <v>8</v>
      </c>
      <c r="I7" t="s">
        <v>5</v>
      </c>
      <c r="J7">
        <v>0</v>
      </c>
      <c r="L7" s="1">
        <f>((J7*300)*3.6)</f>
        <v>0</v>
      </c>
      <c r="M7">
        <f>L7/0.35</f>
        <v>0</v>
      </c>
      <c r="N7" s="1">
        <f>[1]Sheet1!$D$5</f>
        <v>9.0719999999999994E-8</v>
      </c>
      <c r="O7" s="1">
        <f>N7*M7</f>
        <v>0</v>
      </c>
      <c r="P7" s="4">
        <f>[1]Sheet1!$D$2</f>
        <v>6.9480000000000011E-8</v>
      </c>
      <c r="Q7" s="1">
        <f>M7*P7</f>
        <v>0</v>
      </c>
      <c r="R7" s="1">
        <f>[1]Sheet1!$D$3</f>
        <v>1.782E-6</v>
      </c>
      <c r="S7" s="1">
        <f>M7*R7</f>
        <v>0</v>
      </c>
      <c r="T7">
        <v>495</v>
      </c>
      <c r="U7">
        <f>(T7*M7)/1000000</f>
        <v>0</v>
      </c>
    </row>
    <row r="8" spans="1:22" x14ac:dyDescent="0.3">
      <c r="A8" t="s">
        <v>17</v>
      </c>
      <c r="B8" s="7" t="s">
        <v>18</v>
      </c>
      <c r="C8">
        <v>29.4530463</v>
      </c>
      <c r="D8">
        <v>76.872707500000004</v>
      </c>
      <c r="E8" t="s">
        <v>2</v>
      </c>
      <c r="G8" t="s">
        <v>19</v>
      </c>
      <c r="H8" t="s">
        <v>8</v>
      </c>
      <c r="I8" t="s">
        <v>5</v>
      </c>
      <c r="J8" s="8">
        <f>800*1000</f>
        <v>800000</v>
      </c>
      <c r="K8" t="s">
        <v>20</v>
      </c>
      <c r="L8" s="1">
        <f>((J8*300)*3.6)</f>
        <v>864000000</v>
      </c>
      <c r="M8">
        <f>L8/0.35</f>
        <v>2468571428.5714288</v>
      </c>
      <c r="N8" s="1">
        <f>[1]Sheet1!$D$5</f>
        <v>9.0719999999999994E-8</v>
      </c>
      <c r="O8" s="1">
        <f>N8*M8</f>
        <v>223.94880000000001</v>
      </c>
      <c r="P8" s="4">
        <f>[1]Sheet1!$D$2</f>
        <v>6.9480000000000011E-8</v>
      </c>
      <c r="Q8" s="1">
        <f>M8*P8</f>
        <v>171.51634285714289</v>
      </c>
      <c r="R8" s="1">
        <f>[1]Sheet1!$D$3</f>
        <v>1.782E-6</v>
      </c>
      <c r="S8" s="1">
        <f>M8*R8</f>
        <v>4398.994285714286</v>
      </c>
      <c r="T8">
        <v>495</v>
      </c>
      <c r="U8">
        <f>(T8*M8)/1000000</f>
        <v>1221942.8571428573</v>
      </c>
    </row>
    <row r="9" spans="1:22" x14ac:dyDescent="0.3">
      <c r="A9" t="s">
        <v>21</v>
      </c>
      <c r="B9" s="7" t="s">
        <v>22</v>
      </c>
      <c r="C9">
        <v>29.4530463</v>
      </c>
      <c r="D9">
        <v>76.872707500000004</v>
      </c>
      <c r="E9" t="s">
        <v>2</v>
      </c>
      <c r="G9" t="s">
        <v>19</v>
      </c>
      <c r="H9" t="s">
        <v>8</v>
      </c>
      <c r="I9" t="s">
        <v>23</v>
      </c>
      <c r="J9" s="8">
        <f>160*1000</f>
        <v>160000</v>
      </c>
      <c r="K9" t="s">
        <v>20</v>
      </c>
      <c r="L9" s="1">
        <f>((J9*300)*3.6)</f>
        <v>172800000</v>
      </c>
      <c r="M9">
        <f>L9/0.35</f>
        <v>493714285.71428573</v>
      </c>
      <c r="N9" s="1">
        <f>[1]Sheet1!$D$5</f>
        <v>9.0719999999999994E-8</v>
      </c>
      <c r="O9" s="1">
        <f>N9*M9</f>
        <v>44.789760000000001</v>
      </c>
      <c r="P9" s="4">
        <f>[1]Sheet1!$D$2</f>
        <v>6.9480000000000011E-8</v>
      </c>
      <c r="Q9" s="1">
        <f>M9*P9</f>
        <v>34.303268571428575</v>
      </c>
      <c r="R9" s="1">
        <f>[1]Sheet1!$D$3</f>
        <v>1.782E-6</v>
      </c>
      <c r="S9" s="1">
        <f>M9*R9</f>
        <v>879.79885714285717</v>
      </c>
      <c r="T9">
        <v>495</v>
      </c>
      <c r="U9">
        <f>(T9*M9)/1000000</f>
        <v>244388.57142857145</v>
      </c>
    </row>
    <row r="10" spans="1:22" x14ac:dyDescent="0.3">
      <c r="A10" t="s">
        <v>24</v>
      </c>
      <c r="B10" s="7" t="s">
        <v>25</v>
      </c>
      <c r="C10">
        <v>29.928273000000001</v>
      </c>
      <c r="D10">
        <v>74.948007000000004</v>
      </c>
      <c r="E10" t="s">
        <v>2</v>
      </c>
      <c r="F10" t="s">
        <v>26</v>
      </c>
      <c r="G10" t="s">
        <v>27</v>
      </c>
      <c r="H10" t="s">
        <v>8</v>
      </c>
      <c r="I10" t="s">
        <v>5</v>
      </c>
      <c r="J10" s="8">
        <v>1200</v>
      </c>
      <c r="K10" t="s">
        <v>20</v>
      </c>
      <c r="L10" s="1">
        <f>((J10*300)*3.6)</f>
        <v>1296000</v>
      </c>
      <c r="M10">
        <f>L10/0.35</f>
        <v>3702857.1428571432</v>
      </c>
      <c r="N10" s="1">
        <f>[1]Sheet1!$D$5</f>
        <v>9.0719999999999994E-8</v>
      </c>
      <c r="O10" s="1">
        <f>N10*M10</f>
        <v>0.33592320000000003</v>
      </c>
      <c r="P10" s="4">
        <f>[1]Sheet1!$D$2</f>
        <v>6.9480000000000011E-8</v>
      </c>
      <c r="Q10" s="1">
        <f>M10*P10</f>
        <v>0.25727451428571435</v>
      </c>
      <c r="R10" s="1">
        <f>[1]Sheet1!$D$3</f>
        <v>1.782E-6</v>
      </c>
      <c r="S10" s="1">
        <f>M10*R10</f>
        <v>6.5984914285714291</v>
      </c>
      <c r="T10">
        <v>495</v>
      </c>
      <c r="U10">
        <f>(T10*M10)/1000000</f>
        <v>1832.9142857142858</v>
      </c>
    </row>
    <row r="11" spans="1:22" x14ac:dyDescent="0.3">
      <c r="A11" t="s">
        <v>28</v>
      </c>
      <c r="B11" s="7" t="s">
        <v>29</v>
      </c>
      <c r="C11">
        <v>26.643450999999999</v>
      </c>
      <c r="D11">
        <v>79.488859000000005</v>
      </c>
      <c r="E11" t="s">
        <v>2</v>
      </c>
      <c r="F11" t="s">
        <v>30</v>
      </c>
      <c r="G11" t="s">
        <v>31</v>
      </c>
      <c r="H11" t="s">
        <v>8</v>
      </c>
      <c r="I11" t="s">
        <v>5</v>
      </c>
      <c r="J11" s="8">
        <v>900</v>
      </c>
      <c r="K11" t="s">
        <v>20</v>
      </c>
      <c r="L11" s="1">
        <f>((J11*300)*3.6)</f>
        <v>972000</v>
      </c>
      <c r="M11">
        <f>L11/0.35</f>
        <v>2777142.8571428573</v>
      </c>
      <c r="N11" s="1">
        <f>[1]Sheet1!$D$5</f>
        <v>9.0719999999999994E-8</v>
      </c>
      <c r="O11" s="1">
        <f>N11*M11</f>
        <v>0.25194240000000001</v>
      </c>
      <c r="P11" s="4">
        <f>[1]Sheet1!$D$2</f>
        <v>6.9480000000000011E-8</v>
      </c>
      <c r="Q11" s="1">
        <f>M11*P11</f>
        <v>0.19295588571428576</v>
      </c>
      <c r="R11" s="1">
        <f>[1]Sheet1!$D$3</f>
        <v>1.782E-6</v>
      </c>
      <c r="S11" s="1">
        <f>M11*R11</f>
        <v>4.9488685714285721</v>
      </c>
      <c r="T11">
        <v>495</v>
      </c>
      <c r="U11">
        <f>(T11*M11)/1000000</f>
        <v>1374.6857142857143</v>
      </c>
    </row>
    <row r="12" spans="1:22" x14ac:dyDescent="0.3">
      <c r="A12" t="s">
        <v>32</v>
      </c>
      <c r="B12" s="7" t="s">
        <v>33</v>
      </c>
      <c r="C12">
        <v>22.06664396</v>
      </c>
      <c r="D12">
        <v>88.10308191</v>
      </c>
      <c r="E12" t="s">
        <v>2</v>
      </c>
      <c r="G12" t="s">
        <v>34</v>
      </c>
      <c r="H12" t="s">
        <v>8</v>
      </c>
      <c r="I12" t="s">
        <v>5</v>
      </c>
      <c r="J12" s="8">
        <v>700</v>
      </c>
      <c r="K12" t="s">
        <v>20</v>
      </c>
      <c r="L12" s="1">
        <f>((J12*300)*3.6)</f>
        <v>756000</v>
      </c>
      <c r="M12">
        <f>L12/0.35</f>
        <v>2160000</v>
      </c>
      <c r="N12" s="1">
        <f>[1]Sheet1!$D$5</f>
        <v>9.0719999999999994E-8</v>
      </c>
      <c r="O12" s="1">
        <f>N12*M12</f>
        <v>0.1959552</v>
      </c>
      <c r="P12" s="4">
        <f>[1]Sheet1!$D$2</f>
        <v>6.9480000000000011E-8</v>
      </c>
      <c r="Q12" s="1">
        <f>M12*P12</f>
        <v>0.15007680000000001</v>
      </c>
      <c r="R12" s="1">
        <f>[1]Sheet1!$D$3</f>
        <v>1.782E-6</v>
      </c>
      <c r="S12" s="1">
        <f>M12*R12</f>
        <v>3.8491200000000001</v>
      </c>
      <c r="T12">
        <v>495</v>
      </c>
      <c r="U12">
        <f>(T12*M12)/1000000</f>
        <v>1069.2</v>
      </c>
    </row>
    <row r="13" spans="1:22" x14ac:dyDescent="0.3">
      <c r="A13" t="s">
        <v>35</v>
      </c>
      <c r="B13" s="7" t="s">
        <v>36</v>
      </c>
      <c r="C13">
        <v>30.16778</v>
      </c>
      <c r="D13">
        <v>70.932136</v>
      </c>
      <c r="E13" t="s">
        <v>2</v>
      </c>
      <c r="F13" t="s">
        <v>3</v>
      </c>
      <c r="H13" t="s">
        <v>37</v>
      </c>
      <c r="I13" t="s">
        <v>5</v>
      </c>
      <c r="J13">
        <v>0</v>
      </c>
      <c r="L13" s="1">
        <f>((J13*300)*3.6)</f>
        <v>0</v>
      </c>
      <c r="M13">
        <f>L13/0.35</f>
        <v>0</v>
      </c>
      <c r="N13" s="1">
        <f>[1]Sheet1!$D$5</f>
        <v>9.0719999999999994E-8</v>
      </c>
      <c r="O13" s="1">
        <f>N13*M13</f>
        <v>0</v>
      </c>
      <c r="P13" s="4">
        <f>[1]Sheet1!$D$2</f>
        <v>6.9480000000000011E-8</v>
      </c>
      <c r="Q13" s="1">
        <f>M13*P13</f>
        <v>0</v>
      </c>
      <c r="R13" s="1">
        <f>[1]Sheet1!$D$3</f>
        <v>1.782E-6</v>
      </c>
      <c r="S13" s="1">
        <f>M13*R13</f>
        <v>0</v>
      </c>
      <c r="T13">
        <v>495</v>
      </c>
      <c r="U13">
        <f>(T13*M13)/1000000</f>
        <v>0</v>
      </c>
    </row>
    <row r="14" spans="1:22" x14ac:dyDescent="0.3">
      <c r="A14" t="s">
        <v>38</v>
      </c>
      <c r="B14" s="7" t="s">
        <v>39</v>
      </c>
      <c r="C14">
        <v>33.553570000000001</v>
      </c>
      <c r="D14">
        <v>73.072974000000002</v>
      </c>
      <c r="E14" t="s">
        <v>2</v>
      </c>
      <c r="F14" t="s">
        <v>3</v>
      </c>
      <c r="H14" t="s">
        <v>37</v>
      </c>
      <c r="I14" t="s">
        <v>5</v>
      </c>
      <c r="J14">
        <v>0</v>
      </c>
      <c r="L14" s="1">
        <f>((J14*300)*3.6)</f>
        <v>0</v>
      </c>
      <c r="M14">
        <f>L14/0.35</f>
        <v>0</v>
      </c>
      <c r="N14" s="1">
        <f>[1]Sheet1!$D$5</f>
        <v>9.0719999999999994E-8</v>
      </c>
      <c r="O14" s="1">
        <f>N14*M14</f>
        <v>0</v>
      </c>
      <c r="P14" s="4">
        <f>[1]Sheet1!$D$2</f>
        <v>6.9480000000000011E-8</v>
      </c>
      <c r="Q14" s="1">
        <f>M14*P14</f>
        <v>0</v>
      </c>
      <c r="R14" s="1">
        <f>[1]Sheet1!$D$3</f>
        <v>1.782E-6</v>
      </c>
      <c r="S14" s="1">
        <f>M14*R14</f>
        <v>0</v>
      </c>
      <c r="T14">
        <v>495</v>
      </c>
      <c r="U14">
        <f>(T14*M14)/1000000</f>
        <v>0</v>
      </c>
    </row>
    <row r="15" spans="1:22" x14ac:dyDescent="0.3">
      <c r="A15" t="s">
        <v>40</v>
      </c>
      <c r="B15" s="7" t="s">
        <v>41</v>
      </c>
      <c r="C15">
        <v>24.846041</v>
      </c>
      <c r="D15">
        <v>67.124187000000006</v>
      </c>
      <c r="E15" t="s">
        <v>2</v>
      </c>
      <c r="F15" t="s">
        <v>3</v>
      </c>
      <c r="H15" t="s">
        <v>37</v>
      </c>
      <c r="I15" t="s">
        <v>5</v>
      </c>
      <c r="J15">
        <v>0</v>
      </c>
      <c r="L15" s="1">
        <f>((J15*300)*3.6)</f>
        <v>0</v>
      </c>
      <c r="M15">
        <f>L15/0.35</f>
        <v>0</v>
      </c>
      <c r="N15" s="1">
        <f>[1]Sheet1!$D$5</f>
        <v>9.0719999999999994E-8</v>
      </c>
      <c r="O15" s="1">
        <f>N15*M15</f>
        <v>0</v>
      </c>
      <c r="P15" s="4">
        <f>[1]Sheet1!$D$2</f>
        <v>6.9480000000000011E-8</v>
      </c>
      <c r="Q15" s="1">
        <f>M15*P15</f>
        <v>0</v>
      </c>
      <c r="R15" s="1">
        <f>[1]Sheet1!$D$3</f>
        <v>1.782E-6</v>
      </c>
      <c r="S15" s="1">
        <f>M15*R15</f>
        <v>0</v>
      </c>
      <c r="T15">
        <v>495</v>
      </c>
      <c r="U15">
        <f>(T15*M15)/1000000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Zakir Khizer</dc:creator>
  <cp:lastModifiedBy>Zakir Khizer</cp:lastModifiedBy>
  <dcterms:created xsi:type="dcterms:W3CDTF">2025-11-10T18:51:05Z</dcterms:created>
  <dcterms:modified xsi:type="dcterms:W3CDTF">2025-11-10T19:05:15Z</dcterms:modified>
</cp:coreProperties>
</file>