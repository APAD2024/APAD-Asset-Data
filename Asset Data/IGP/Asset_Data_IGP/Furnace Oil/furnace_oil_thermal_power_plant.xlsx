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Furnace Oil\"/>
    </mc:Choice>
  </mc:AlternateContent>
  <xr:revisionPtr revIDLastSave="0" documentId="13_ncr:1_{54F7513E-42AB-4EA9-AED7-042F13E4692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heet1" sheetId="1" r:id="rId1"/>
    <sheet name="Assumptions_Formula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" i="3"/>
  <c r="E8" i="1"/>
  <c r="E9" i="1"/>
  <c r="E10" i="1"/>
  <c r="E11" i="1"/>
  <c r="E7" i="1"/>
  <c r="R3" i="3" l="1"/>
  <c r="R6" i="3"/>
  <c r="R7" i="3"/>
  <c r="R10" i="3"/>
  <c r="S10" i="3" s="1"/>
  <c r="R11" i="3"/>
  <c r="S11" i="3" s="1"/>
  <c r="R16" i="3"/>
  <c r="S16" i="3" s="1"/>
  <c r="R17" i="3"/>
  <c r="S17" i="3" s="1"/>
  <c r="R18" i="3"/>
  <c r="S18" i="3" s="1"/>
  <c r="R19" i="3"/>
  <c r="S19" i="3" s="1"/>
  <c r="V3" i="3"/>
  <c r="W3" i="3" s="1"/>
  <c r="V6" i="3"/>
  <c r="W6" i="3" s="1"/>
  <c r="V7" i="3"/>
  <c r="W7" i="3" s="1"/>
  <c r="V10" i="3"/>
  <c r="W10" i="3" s="1"/>
  <c r="V11" i="3"/>
  <c r="W11" i="3" s="1"/>
  <c r="V16" i="3"/>
  <c r="W16" i="3" s="1"/>
  <c r="V17" i="3"/>
  <c r="W17" i="3" s="1"/>
  <c r="V18" i="3"/>
  <c r="W18" i="3" s="1"/>
  <c r="V19" i="3"/>
  <c r="W19" i="3" s="1"/>
  <c r="T3" i="3"/>
  <c r="U3" i="3" s="1"/>
  <c r="T6" i="3"/>
  <c r="U6" i="3" s="1"/>
  <c r="T7" i="3"/>
  <c r="U7" i="3" s="1"/>
  <c r="T10" i="3"/>
  <c r="U10" i="3" s="1"/>
  <c r="T11" i="3"/>
  <c r="U11" i="3" s="1"/>
  <c r="T16" i="3"/>
  <c r="U16" i="3" s="1"/>
  <c r="T17" i="3"/>
  <c r="U17" i="3" s="1"/>
  <c r="T18" i="3"/>
  <c r="U18" i="3" s="1"/>
  <c r="T19" i="3"/>
  <c r="U19" i="3" s="1"/>
  <c r="S3" i="3"/>
  <c r="S6" i="3"/>
  <c r="S7" i="3"/>
  <c r="P3" i="3"/>
  <c r="P6" i="3"/>
  <c r="P7" i="3"/>
  <c r="P10" i="3"/>
  <c r="P11" i="3"/>
  <c r="P16" i="3"/>
  <c r="P17" i="3"/>
  <c r="P18" i="3"/>
  <c r="P19" i="3"/>
  <c r="N3" i="3"/>
  <c r="O3" i="3" s="1"/>
  <c r="N6" i="3"/>
  <c r="N7" i="3"/>
  <c r="N10" i="3"/>
  <c r="N11" i="3"/>
  <c r="N16" i="3"/>
  <c r="N17" i="3"/>
  <c r="N18" i="3"/>
  <c r="N19" i="3"/>
  <c r="C6" i="1" l="1"/>
  <c r="E6" i="1" s="1"/>
  <c r="C4" i="1"/>
  <c r="E4" i="1" s="1"/>
  <c r="C3" i="1"/>
  <c r="E3" i="1" s="1"/>
  <c r="D13" i="2"/>
  <c r="C5" i="1" s="1"/>
  <c r="E5" i="1" s="1"/>
  <c r="N4" i="3" l="1"/>
  <c r="N20" i="3"/>
  <c r="O20" i="3" s="1"/>
  <c r="N5" i="3"/>
  <c r="O5" i="3" s="1"/>
  <c r="N21" i="3"/>
  <c r="N22" i="3"/>
  <c r="O22" i="3" s="1"/>
  <c r="N2" i="3"/>
  <c r="N8" i="3"/>
  <c r="O8" i="3" s="1"/>
  <c r="N9" i="3"/>
  <c r="O9" i="3" s="1"/>
  <c r="N12" i="3"/>
  <c r="O12" i="3" s="1"/>
  <c r="N13" i="3"/>
  <c r="O13" i="3" s="1"/>
  <c r="N14" i="3"/>
  <c r="O14" i="3" s="1"/>
  <c r="N15" i="3"/>
  <c r="O15" i="3" s="1"/>
  <c r="C2" i="1"/>
  <c r="E2" i="1" s="1"/>
  <c r="R4" i="3"/>
  <c r="S4" i="3" s="1"/>
  <c r="R20" i="3"/>
  <c r="S20" i="3" s="1"/>
  <c r="R5" i="3"/>
  <c r="S5" i="3" s="1"/>
  <c r="R21" i="3"/>
  <c r="S21" i="3" s="1"/>
  <c r="R22" i="3"/>
  <c r="S22" i="3" s="1"/>
  <c r="R2" i="3"/>
  <c r="S2" i="3" s="1"/>
  <c r="R8" i="3"/>
  <c r="S8" i="3" s="1"/>
  <c r="R9" i="3"/>
  <c r="S9" i="3" s="1"/>
  <c r="R12" i="3"/>
  <c r="S12" i="3" s="1"/>
  <c r="R13" i="3"/>
  <c r="S13" i="3" s="1"/>
  <c r="R14" i="3"/>
  <c r="S14" i="3" s="1"/>
  <c r="R15" i="3"/>
  <c r="S15" i="3" s="1"/>
  <c r="T4" i="3"/>
  <c r="U4" i="3" s="1"/>
  <c r="T20" i="3"/>
  <c r="U20" i="3" s="1"/>
  <c r="T5" i="3"/>
  <c r="U5" i="3" s="1"/>
  <c r="T21" i="3"/>
  <c r="U21" i="3" s="1"/>
  <c r="T22" i="3"/>
  <c r="U22" i="3" s="1"/>
  <c r="T2" i="3"/>
  <c r="U2" i="3" s="1"/>
  <c r="T8" i="3"/>
  <c r="U8" i="3" s="1"/>
  <c r="T9" i="3"/>
  <c r="U9" i="3" s="1"/>
  <c r="T12" i="3"/>
  <c r="U12" i="3" s="1"/>
  <c r="T13" i="3"/>
  <c r="U13" i="3" s="1"/>
  <c r="T14" i="3"/>
  <c r="U14" i="3" s="1"/>
  <c r="T15" i="3"/>
  <c r="U15" i="3" s="1"/>
  <c r="V9" i="3"/>
  <c r="W9" i="3" s="1"/>
  <c r="V12" i="3"/>
  <c r="W12" i="3" s="1"/>
  <c r="V13" i="3"/>
  <c r="W13" i="3" s="1"/>
  <c r="V14" i="3"/>
  <c r="W14" i="3" s="1"/>
  <c r="V15" i="3"/>
  <c r="W15" i="3" s="1"/>
  <c r="V4" i="3"/>
  <c r="W4" i="3" s="1"/>
  <c r="V20" i="3"/>
  <c r="W20" i="3" s="1"/>
  <c r="V5" i="3"/>
  <c r="W5" i="3" s="1"/>
  <c r="V21" i="3"/>
  <c r="W21" i="3" s="1"/>
  <c r="V22" i="3"/>
  <c r="W22" i="3" s="1"/>
  <c r="V2" i="3"/>
  <c r="W2" i="3" s="1"/>
  <c r="V8" i="3"/>
  <c r="W8" i="3" s="1"/>
  <c r="Q11" i="3"/>
  <c r="Q16" i="3"/>
  <c r="Q18" i="3"/>
  <c r="Q6" i="3"/>
  <c r="Q19" i="3"/>
  <c r="Q10" i="3"/>
  <c r="Q17" i="3"/>
  <c r="Q3" i="3"/>
  <c r="Q7" i="3"/>
  <c r="O19" i="3"/>
  <c r="O4" i="3"/>
  <c r="O21" i="3"/>
  <c r="O6" i="3"/>
  <c r="O2" i="3"/>
  <c r="O7" i="3"/>
  <c r="O16" i="3"/>
  <c r="O10" i="3"/>
  <c r="O11" i="3"/>
  <c r="O17" i="3"/>
  <c r="O18" i="3"/>
  <c r="P22" i="3" l="1"/>
  <c r="Q22" i="3" s="1"/>
  <c r="P2" i="3"/>
  <c r="Q2" i="3" s="1"/>
  <c r="P8" i="3"/>
  <c r="Q8" i="3" s="1"/>
  <c r="P9" i="3"/>
  <c r="Q9" i="3" s="1"/>
  <c r="P12" i="3"/>
  <c r="Q12" i="3" s="1"/>
  <c r="P13" i="3"/>
  <c r="Q13" i="3" s="1"/>
  <c r="P14" i="3"/>
  <c r="Q14" i="3" s="1"/>
  <c r="P15" i="3"/>
  <c r="Q15" i="3" s="1"/>
  <c r="P4" i="3"/>
  <c r="Q4" i="3" s="1"/>
  <c r="P20" i="3"/>
  <c r="Q20" i="3" s="1"/>
  <c r="P5" i="3"/>
  <c r="Q5" i="3" s="1"/>
  <c r="P21" i="3"/>
  <c r="Q21" i="3" s="1"/>
</calcChain>
</file>

<file path=xl/sharedStrings.xml><?xml version="1.0" encoding="utf-8"?>
<sst xmlns="http://schemas.openxmlformats.org/spreadsheetml/2006/main" count="250" uniqueCount="130">
  <si>
    <t>pollutant</t>
  </si>
  <si>
    <t>ef</t>
  </si>
  <si>
    <t>unit</t>
  </si>
  <si>
    <t>capacity_factor</t>
  </si>
  <si>
    <t>PM2.5</t>
  </si>
  <si>
    <t>SO2</t>
  </si>
  <si>
    <t>NOx</t>
  </si>
  <si>
    <t>PM10*</t>
  </si>
  <si>
    <t>Source</t>
  </si>
  <si>
    <t>Jindamanee, K., Thepanondh, S., Keawboonchu, J., Pinthong, N., &amp; Meeyai, A. (2024). Manifesting the hidden pollutants: Quantifying emissions and environmental impact of petroleum refinery on PM2. 5. Atmospheric Environment: X , , 24 , 100300.</t>
  </si>
  <si>
    <t>Item</t>
  </si>
  <si>
    <t>Formula</t>
  </si>
  <si>
    <t>Notes</t>
  </si>
  <si>
    <t>Value</t>
  </si>
  <si>
    <t>HOURS_PER_YEAR</t>
  </si>
  <si>
    <t>LITRES_PER_MWH</t>
  </si>
  <si>
    <t>DENSITY</t>
  </si>
  <si>
    <t>DEFAULT_CF</t>
  </si>
  <si>
    <t>PM_CONTROL</t>
  </si>
  <si>
    <t>EF_convert</t>
  </si>
  <si>
    <t>L/yr (MW)</t>
  </si>
  <si>
    <t>L/yr (kt/yr)</t>
  </si>
  <si>
    <t>Emissions</t>
  </si>
  <si>
    <t>H = 365 × 24</t>
  </si>
  <si>
    <t>L/MWh = 3.6 GJ / (η × LHV) × (1/ρ)</t>
  </si>
  <si>
    <t>ρ</t>
  </si>
  <si>
    <t>CF default</t>
  </si>
  <si>
    <t>Apply ×0.05 to PM</t>
  </si>
  <si>
    <t>EF_tonnes/L = EF_g/L ÷ 1e6</t>
  </si>
  <si>
    <t>L/yr = MW × 8760 × CF × 253</t>
  </si>
  <si>
    <t>L/yr = (kt × 1e6 kg/kt) / ρ</t>
  </si>
  <si>
    <t>t/yr = L/yr × EF_tonnes/L</t>
  </si>
  <si>
    <t>8,760 h/yr</t>
  </si>
  <si>
    <t>≈253 L/MWh with η=0.35, LHV=41 MJ/kg, ρ=0.99 kg/L</t>
  </si>
  <si>
    <t>0.99 kg/L</t>
  </si>
  <si>
    <t>0.463 (Pakistan fossil average)</t>
  </si>
  <si>
    <t>ESP control; gases uncontrolled here</t>
  </si>
  <si>
    <t>Unit conversion</t>
  </si>
  <si>
    <t>If unit == MW</t>
  </si>
  <si>
    <t>If unit == kt/yr</t>
  </si>
  <si>
    <t>Apply PM control if applicable</t>
  </si>
  <si>
    <t>CO</t>
  </si>
  <si>
    <t>S</t>
  </si>
  <si>
    <t>Particulate emission factors for residual oil combustion without emission controls(A)</t>
  </si>
  <si>
    <t>A = (1.12*S)+0.37</t>
  </si>
  <si>
    <t>Weight % of S in oil</t>
  </si>
  <si>
    <t>conversion factor (lb/gallons to g/l)</t>
  </si>
  <si>
    <t>https://www.winebusiness.com/calculator/winemaking/calc/20/</t>
  </si>
  <si>
    <t xml:space="preserve"> g/Litre</t>
  </si>
  <si>
    <t>ef (tonnes of pollutant/Litres of fuel)</t>
  </si>
  <si>
    <t>id</t>
  </si>
  <si>
    <t>name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</si>
  <si>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</si>
  <si>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</si>
  <si>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</si>
  <si>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</si>
  <si>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</si>
  <si>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</si>
  <si>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</si>
  <si>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</si>
  <si>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pm10_t_yr</t>
  </si>
  <si>
    <t>emfpm25</t>
  </si>
  <si>
    <t>pm25_t_yr</t>
  </si>
  <si>
    <t>emfso2</t>
  </si>
  <si>
    <t>so2_t_yr</t>
  </si>
  <si>
    <t>emfnox</t>
  </si>
  <si>
    <t>nox_t_yr</t>
  </si>
  <si>
    <t>FOP-4</t>
  </si>
  <si>
    <t>Kohinoor Energy</t>
  </si>
  <si>
    <t>Furnace Oil</t>
  </si>
  <si>
    <t>furnace oil</t>
  </si>
  <si>
    <t>Pakistan</t>
  </si>
  <si>
    <t>operating</t>
  </si>
  <si>
    <t>FOP-5</t>
  </si>
  <si>
    <t>Rousch Power Limited</t>
  </si>
  <si>
    <t>gas</t>
  </si>
  <si>
    <t>FOP-6</t>
  </si>
  <si>
    <t>Saba Power Plant</t>
  </si>
  <si>
    <t>FOP-7</t>
  </si>
  <si>
    <t>Atlas Power Plant</t>
  </si>
  <si>
    <t>FOP-8</t>
  </si>
  <si>
    <t>SAIF POWER PLANT</t>
  </si>
  <si>
    <t>FOP-9</t>
  </si>
  <si>
    <t>Orient Power Station</t>
  </si>
  <si>
    <t>FOP-10</t>
  </si>
  <si>
    <t>Nishat Power Limited</t>
  </si>
  <si>
    <t>FOP-11</t>
  </si>
  <si>
    <t>Nishat Chunian Power</t>
  </si>
  <si>
    <t>FOP-12</t>
  </si>
  <si>
    <t>Sapphire Power Plant</t>
  </si>
  <si>
    <t>FOP-13</t>
  </si>
  <si>
    <t>Halmore Power Station</t>
  </si>
  <si>
    <t>FOP-14</t>
  </si>
  <si>
    <t>Hubco Narowal Energy</t>
  </si>
  <si>
    <t>FOP-15</t>
  </si>
  <si>
    <t>Liberty Power Tech</t>
  </si>
  <si>
    <t>FOP-16</t>
  </si>
  <si>
    <t>Reshma Power</t>
  </si>
  <si>
    <t>FOP-17</t>
  </si>
  <si>
    <t>Gulf Powergen</t>
  </si>
  <si>
    <t>FOP-18</t>
  </si>
  <si>
    <t>QATPL</t>
  </si>
  <si>
    <t>RLNG</t>
  </si>
  <si>
    <t>FOP-19</t>
  </si>
  <si>
    <t>Balloki Power Plant</t>
  </si>
  <si>
    <t>FOP-20</t>
  </si>
  <si>
    <t>Haveli Bahadur Shah Power Plant</t>
  </si>
  <si>
    <t>FOP-21</t>
  </si>
  <si>
    <t>Chiniot Power</t>
  </si>
  <si>
    <t>biofuel</t>
  </si>
  <si>
    <t>FOP-22</t>
  </si>
  <si>
    <t>Nandipur Power Project</t>
  </si>
  <si>
    <t>FOP-23</t>
  </si>
  <si>
    <t>Japan Power</t>
  </si>
  <si>
    <t>FOP-24</t>
  </si>
  <si>
    <t>Southern Electric Power</t>
  </si>
  <si>
    <t>emfco</t>
  </si>
  <si>
    <t>co_t_yr</t>
  </si>
  <si>
    <t>capacity_power</t>
  </si>
  <si>
    <t>units</t>
  </si>
  <si>
    <t>MW</t>
  </si>
  <si>
    <t>oil</t>
  </si>
  <si>
    <t>fuel_volume(l/yr_m3/yr)</t>
  </si>
  <si>
    <t>g/m3</t>
  </si>
  <si>
    <t>Nox_control</t>
  </si>
  <si>
    <t>M3_Per_MWH</t>
  </si>
  <si>
    <t>≈270.7 M3/MWh with η=0.35, LHV=38 MJ/m3</t>
  </si>
  <si>
    <t>EF_convert(tonnes/m3)</t>
  </si>
  <si>
    <t>EF_tonnes/m3 = EF_g/m3 ÷ 1e6</t>
  </si>
  <si>
    <t>https://www.convertunits.com/from/g/m3/to/tonne/cubic+metre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</si>
</sst>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0"/>
      <color rgb="FF32302C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workbookViewId="0">
      <selection activeCell="C8" sqref="C8"/>
    </sheetView>
  </sheetViews>
  <sheetFormatPr defaultRowHeight="14.4" x14ac:dyDescent="0.3"/>
  <cols>
    <col min="1" max="1" width="8.6640625" bestFit="1" customWidth="1"/>
    <col min="2" max="2" width="8.6640625" customWidth="1"/>
    <col min="3" max="3" width="11" customWidth="1"/>
    <col min="4" max="4" width="13.77734375" customWidth="1"/>
    <col min="5" max="5" width="50.109375" bestFit="1" customWidth="1"/>
    <col min="7" max="7" width="14.6640625" customWidth="1"/>
    <col min="9" max="10" width="12" bestFit="1" customWidth="1"/>
    <col min="15" max="15" width="11.5546875" bestFit="1" customWidth="1"/>
  </cols>
  <sheetData>
    <row r="1" spans="1:26" x14ac:dyDescent="0.3">
      <c r="A1" s="1" t="s">
        <v>0</v>
      </c>
      <c r="B1" s="1" t="s">
        <v>55</v>
      </c>
      <c r="C1" s="1" t="s">
        <v>1</v>
      </c>
      <c r="D1" s="1" t="s">
        <v>2</v>
      </c>
      <c r="E1" s="1" t="s">
        <v>49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4</v>
      </c>
      <c r="B2" t="s">
        <v>121</v>
      </c>
      <c r="C2">
        <f>(4.67*Assumptions_Formulas!D13*Assumptions_Formulas!D15)</f>
        <v>2.4041159999999997</v>
      </c>
      <c r="D2" t="s">
        <v>48</v>
      </c>
      <c r="E2">
        <f>C2/1000000</f>
        <v>2.4041159999999996E-6</v>
      </c>
    </row>
    <row r="3" spans="1:26" x14ac:dyDescent="0.3">
      <c r="A3" t="s">
        <v>5</v>
      </c>
      <c r="B3" t="s">
        <v>121</v>
      </c>
      <c r="C3">
        <f>157*Assumptions_Formulas!D14*Assumptions_Formulas!D15</f>
        <v>65.94</v>
      </c>
      <c r="D3" t="s">
        <v>48</v>
      </c>
      <c r="E3">
        <f t="shared" ref="E3:E6" si="0">C3/1000000</f>
        <v>6.5939999999999995E-5</v>
      </c>
    </row>
    <row r="4" spans="1:26" x14ac:dyDescent="0.3">
      <c r="A4" t="s">
        <v>6</v>
      </c>
      <c r="B4" t="s">
        <v>121</v>
      </c>
      <c r="C4">
        <f>55*Assumptions_Formulas!D15</f>
        <v>6.6</v>
      </c>
      <c r="D4" t="s">
        <v>48</v>
      </c>
      <c r="E4">
        <f t="shared" si="0"/>
        <v>6.5999999999999995E-6</v>
      </c>
    </row>
    <row r="5" spans="1:26" x14ac:dyDescent="0.3">
      <c r="A5" t="s">
        <v>7</v>
      </c>
      <c r="B5" t="s">
        <v>121</v>
      </c>
      <c r="C5">
        <f>7.17*Assumptions_Formulas!D13*Assumptions_Formulas!D15</f>
        <v>3.6911159999999996</v>
      </c>
      <c r="D5" t="s">
        <v>48</v>
      </c>
      <c r="E5">
        <f t="shared" si="0"/>
        <v>3.6911159999999997E-6</v>
      </c>
    </row>
    <row r="6" spans="1:26" x14ac:dyDescent="0.3">
      <c r="A6" t="s">
        <v>41</v>
      </c>
      <c r="B6" t="s">
        <v>121</v>
      </c>
      <c r="C6">
        <f>5*Assumptions_Formulas!D15</f>
        <v>0.6</v>
      </c>
      <c r="D6" t="s">
        <v>48</v>
      </c>
      <c r="E6">
        <f t="shared" si="0"/>
        <v>5.9999999999999997E-7</v>
      </c>
    </row>
    <row r="7" spans="1:26" x14ac:dyDescent="0.3">
      <c r="A7" t="s">
        <v>4</v>
      </c>
      <c r="B7" t="s">
        <v>75</v>
      </c>
      <c r="C7">
        <v>0.1222</v>
      </c>
      <c r="D7" t="s">
        <v>123</v>
      </c>
      <c r="E7">
        <f>C7/1000000</f>
        <v>1.222E-7</v>
      </c>
    </row>
    <row r="8" spans="1:26" x14ac:dyDescent="0.3">
      <c r="A8" t="s">
        <v>5</v>
      </c>
      <c r="B8" t="s">
        <v>75</v>
      </c>
      <c r="C8">
        <v>9.5999999999999992E-3</v>
      </c>
      <c r="D8" t="s">
        <v>123</v>
      </c>
      <c r="E8">
        <f>C8/1000000</f>
        <v>9.5999999999999999E-9</v>
      </c>
    </row>
    <row r="9" spans="1:26" x14ac:dyDescent="0.3">
      <c r="A9" t="s">
        <v>6</v>
      </c>
      <c r="B9" t="s">
        <v>75</v>
      </c>
      <c r="C9">
        <v>1.6</v>
      </c>
      <c r="D9" t="s">
        <v>123</v>
      </c>
      <c r="E9">
        <f t="shared" ref="E8:E11" si="1">C9/1000000</f>
        <v>1.6000000000000001E-6</v>
      </c>
      <c r="F9" t="s">
        <v>129</v>
      </c>
    </row>
    <row r="10" spans="1:26" x14ac:dyDescent="0.3">
      <c r="A10" t="s">
        <v>7</v>
      </c>
      <c r="B10" t="s">
        <v>75</v>
      </c>
      <c r="C10">
        <v>0.122</v>
      </c>
      <c r="D10" t="s">
        <v>123</v>
      </c>
      <c r="E10">
        <f t="shared" si="1"/>
        <v>1.2200000000000001E-7</v>
      </c>
    </row>
    <row r="11" spans="1:26" x14ac:dyDescent="0.3">
      <c r="A11" t="s">
        <v>41</v>
      </c>
      <c r="B11" t="s">
        <v>75</v>
      </c>
      <c r="C11">
        <v>1.34</v>
      </c>
      <c r="D11" t="s">
        <v>123</v>
      </c>
      <c r="E11">
        <f t="shared" si="1"/>
        <v>1.3400000000000001E-6</v>
      </c>
    </row>
    <row r="12" spans="1:26" ht="101.4" customHeight="1" x14ac:dyDescent="0.3">
      <c r="A12" t="s">
        <v>8</v>
      </c>
      <c r="C12" t="s">
        <v>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C3" sqref="C3:C4"/>
    </sheetView>
  </sheetViews>
  <sheetFormatPr defaultRowHeight="14.4" x14ac:dyDescent="0.3"/>
  <cols>
    <col min="1" max="1" width="41.5546875" customWidth="1"/>
    <col min="2" max="2" width="29.109375" bestFit="1" customWidth="1"/>
    <col min="3" max="3" width="45.33203125" bestFit="1" customWidth="1"/>
  </cols>
  <sheetData>
    <row r="1" spans="1:4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14</v>
      </c>
      <c r="B2" t="s">
        <v>23</v>
      </c>
      <c r="C2" t="s">
        <v>32</v>
      </c>
      <c r="D2">
        <v>8760</v>
      </c>
    </row>
    <row r="3" spans="1:4" x14ac:dyDescent="0.3">
      <c r="A3" t="s">
        <v>125</v>
      </c>
      <c r="B3" s="6"/>
      <c r="C3" t="s">
        <v>126</v>
      </c>
      <c r="D3">
        <v>270.7</v>
      </c>
    </row>
    <row r="4" spans="1:4" x14ac:dyDescent="0.3">
      <c r="A4" t="s">
        <v>15</v>
      </c>
      <c r="B4" t="s">
        <v>24</v>
      </c>
      <c r="C4" t="s">
        <v>33</v>
      </c>
      <c r="D4">
        <v>253</v>
      </c>
    </row>
    <row r="5" spans="1:4" x14ac:dyDescent="0.3">
      <c r="A5" t="s">
        <v>16</v>
      </c>
      <c r="B5" t="s">
        <v>25</v>
      </c>
      <c r="C5" t="s">
        <v>34</v>
      </c>
      <c r="D5">
        <v>0.99</v>
      </c>
    </row>
    <row r="6" spans="1:4" x14ac:dyDescent="0.3">
      <c r="A6" t="s">
        <v>17</v>
      </c>
      <c r="B6" t="s">
        <v>26</v>
      </c>
      <c r="C6" t="s">
        <v>35</v>
      </c>
      <c r="D6">
        <v>0.46300000000000002</v>
      </c>
    </row>
    <row r="7" spans="1:4" x14ac:dyDescent="0.3">
      <c r="A7" t="s">
        <v>18</v>
      </c>
      <c r="B7" t="s">
        <v>27</v>
      </c>
      <c r="C7" t="s">
        <v>36</v>
      </c>
      <c r="D7">
        <v>0.05</v>
      </c>
    </row>
    <row r="8" spans="1:4" x14ac:dyDescent="0.3">
      <c r="A8" t="s">
        <v>127</v>
      </c>
      <c r="B8" t="s">
        <v>128</v>
      </c>
    </row>
    <row r="9" spans="1:4" x14ac:dyDescent="0.3">
      <c r="A9" t="s">
        <v>19</v>
      </c>
      <c r="B9" t="s">
        <v>28</v>
      </c>
      <c r="C9" t="s">
        <v>37</v>
      </c>
    </row>
    <row r="10" spans="1:4" x14ac:dyDescent="0.3">
      <c r="A10" t="s">
        <v>20</v>
      </c>
      <c r="B10" t="s">
        <v>29</v>
      </c>
      <c r="C10" t="s">
        <v>38</v>
      </c>
    </row>
    <row r="11" spans="1:4" x14ac:dyDescent="0.3">
      <c r="A11" t="s">
        <v>21</v>
      </c>
      <c r="B11" t="s">
        <v>30</v>
      </c>
      <c r="C11" t="s">
        <v>39</v>
      </c>
    </row>
    <row r="12" spans="1:4" x14ac:dyDescent="0.3">
      <c r="A12" t="s">
        <v>22</v>
      </c>
      <c r="B12" t="s">
        <v>31</v>
      </c>
      <c r="C12" t="s">
        <v>40</v>
      </c>
    </row>
    <row r="13" spans="1:4" x14ac:dyDescent="0.3">
      <c r="A13" t="s">
        <v>43</v>
      </c>
      <c r="B13" t="s">
        <v>44</v>
      </c>
      <c r="D13">
        <f>(1.12*D14)+0.37</f>
        <v>4.29</v>
      </c>
    </row>
    <row r="14" spans="1:4" x14ac:dyDescent="0.3">
      <c r="A14" t="s">
        <v>45</v>
      </c>
      <c r="B14" t="s">
        <v>42</v>
      </c>
      <c r="D14">
        <v>3.5</v>
      </c>
    </row>
    <row r="15" spans="1:4" ht="15" x14ac:dyDescent="0.35">
      <c r="A15" t="s">
        <v>46</v>
      </c>
      <c r="B15" s="2"/>
      <c r="C15" t="s">
        <v>47</v>
      </c>
      <c r="D15">
        <v>0.12</v>
      </c>
    </row>
    <row r="16" spans="1:4" x14ac:dyDescent="0.3">
      <c r="A16" t="s">
        <v>124</v>
      </c>
      <c r="D16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5909-864C-41CF-99E2-2806A66EC709}">
  <dimension ref="A1:W22"/>
  <sheetViews>
    <sheetView tabSelected="1" workbookViewId="0">
      <selection activeCell="S2" sqref="S2"/>
    </sheetView>
  </sheetViews>
  <sheetFormatPr defaultRowHeight="14.4" x14ac:dyDescent="0.3"/>
  <cols>
    <col min="2" max="2" width="28.21875" bestFit="1" customWidth="1"/>
    <col min="3" max="3" width="10" bestFit="1" customWidth="1"/>
    <col min="6" max="6" width="16.77734375" customWidth="1"/>
    <col min="10" max="10" width="17.6640625" bestFit="1" customWidth="1"/>
    <col min="11" max="11" width="17.6640625" customWidth="1"/>
    <col min="12" max="12" width="13.6640625" bestFit="1" customWidth="1"/>
    <col min="13" max="13" width="20.21875" bestFit="1" customWidth="1"/>
    <col min="14" max="14" width="12.33203125" bestFit="1" customWidth="1"/>
    <col min="15" max="15" width="12" bestFit="1" customWidth="1"/>
    <col min="16" max="16" width="12.33203125" bestFit="1" customWidth="1"/>
    <col min="18" max="18" width="11" bestFit="1" customWidth="1"/>
    <col min="20" max="20" width="10" bestFit="1" customWidth="1"/>
    <col min="22" max="22" width="10" bestFit="1" customWidth="1"/>
  </cols>
  <sheetData>
    <row r="1" spans="1:23" x14ac:dyDescent="0.3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118</v>
      </c>
      <c r="K1" s="3" t="s">
        <v>119</v>
      </c>
      <c r="L1" s="3" t="s">
        <v>3</v>
      </c>
      <c r="M1" s="3" t="s">
        <v>122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116</v>
      </c>
      <c r="W1" s="3" t="s">
        <v>117</v>
      </c>
    </row>
    <row r="2" spans="1:23" x14ac:dyDescent="0.3">
      <c r="A2" t="s">
        <v>67</v>
      </c>
      <c r="B2" t="s">
        <v>68</v>
      </c>
      <c r="C2">
        <v>31.263200000000001</v>
      </c>
      <c r="D2">
        <v>74.1874818</v>
      </c>
      <c r="E2" t="s">
        <v>69</v>
      </c>
      <c r="F2" t="s">
        <v>70</v>
      </c>
      <c r="H2" t="s">
        <v>71</v>
      </c>
      <c r="I2" t="s">
        <v>72</v>
      </c>
      <c r="J2">
        <v>1244</v>
      </c>
      <c r="K2" t="s">
        <v>120</v>
      </c>
      <c r="L2" s="5">
        <v>0.46300000000000002</v>
      </c>
      <c r="M2" s="3">
        <f>IF(F2="Furnace Oil",J2*L2*Assumptions_Formulas!$D$2*Assumptions_Formulas!$D$4,(J2*L2*Assumptions_Formulas!$D$2)/(0.35*0.038))</f>
        <v>1276515224.1599998</v>
      </c>
      <c r="N2" s="3">
        <f>IF(F2="Furnace Oil", Sheet1!$E$5,Sheet1!$E$10)</f>
        <v>3.6911159999999997E-6</v>
      </c>
      <c r="O2" s="3">
        <f>(M2*N2)*Assumptions_Formulas!$D$7</f>
        <v>235.5882884070281</v>
      </c>
      <c r="P2" s="4">
        <f>IF(F2="Furnace Oil", Sheet1!$E$2, Sheet1!$E$7)</f>
        <v>2.4041159999999996E-6</v>
      </c>
      <c r="Q2" s="3">
        <f>(M2*P2)*Assumptions_Formulas!$D$7</f>
        <v>153.4445337323321</v>
      </c>
      <c r="R2" s="3">
        <f>IF(F2 = "Furnace Oil", Sheet1!$E$3, Sheet1!$E$8)</f>
        <v>6.5939999999999995E-5</v>
      </c>
      <c r="S2" s="3">
        <f>(R2*M2)*Assumptions_Formulas!$D$7</f>
        <v>4208.6706940555196</v>
      </c>
      <c r="T2">
        <f>IF(F2="Furnace Oil",Sheet1!$E$4,Sheet1!$E$9)</f>
        <v>6.5999999999999995E-6</v>
      </c>
      <c r="U2">
        <f>(T2*M2)*Assumptions_Formulas!$D$16</f>
        <v>842.50004794559993</v>
      </c>
      <c r="V2">
        <f>IF(F2="Furnace Oil", Sheet1!$E$6, Sheet1!$E$11)</f>
        <v>5.9999999999999997E-7</v>
      </c>
      <c r="W2">
        <f>(V2*M2)*Assumptions_Formulas!$D$7</f>
        <v>38.295456724799998</v>
      </c>
    </row>
    <row r="3" spans="1:23" x14ac:dyDescent="0.3">
      <c r="A3" t="s">
        <v>73</v>
      </c>
      <c r="B3" t="s">
        <v>74</v>
      </c>
      <c r="C3">
        <v>30.569074000000001</v>
      </c>
      <c r="D3">
        <v>72.143899000000005</v>
      </c>
      <c r="E3" t="s">
        <v>69</v>
      </c>
      <c r="F3" t="s">
        <v>75</v>
      </c>
      <c r="H3" t="s">
        <v>71</v>
      </c>
      <c r="I3" t="s">
        <v>72</v>
      </c>
      <c r="J3">
        <v>450</v>
      </c>
      <c r="K3" t="s">
        <v>120</v>
      </c>
      <c r="L3" s="5">
        <v>0.46300000000000002</v>
      </c>
      <c r="M3" s="3">
        <f>IF(F3="Furnace Oil",J3*L3*Assumptions_Formulas!$D$2*Assumptions_Formulas!$D$4,(J3*L3*Assumptions_Formulas!$D$2)/(0.35*0.038))</f>
        <v>137229022.556391</v>
      </c>
      <c r="N3" s="3">
        <f>IF(F3="Furnace Oil", Sheet1!$E$5,Sheet1!$E$10)</f>
        <v>1.2200000000000001E-7</v>
      </c>
      <c r="O3" s="3">
        <f>(M3*N3)*Assumptions_Formulas!$D$7</f>
        <v>0.83709703759398524</v>
      </c>
      <c r="P3" s="4">
        <f>IF(F3="Furnace Oil", Sheet1!$E$2, Sheet1!$E$7)</f>
        <v>1.222E-7</v>
      </c>
      <c r="Q3" s="3">
        <f>(M3*P3)*Assumptions_Formulas!$D$7</f>
        <v>0.83846932781954908</v>
      </c>
      <c r="R3" s="3">
        <f>IF(F3 = "Furnace Oil", Sheet1!$E$3, Sheet1!$E$8)</f>
        <v>9.5999999999999999E-9</v>
      </c>
      <c r="S3" s="3">
        <f>(R3*M3)*Assumptions_Formulas!$D$7</f>
        <v>6.5869930827067685E-2</v>
      </c>
      <c r="T3">
        <f>IF(F3="Furnace Oil",Sheet1!$E$4,Sheet1!$E$9)</f>
        <v>1.6000000000000001E-6</v>
      </c>
      <c r="U3">
        <f>(T3*M3)*Assumptions_Formulas!$D$16</f>
        <v>21.956643609022564</v>
      </c>
      <c r="V3">
        <f>IF(F3="Furnace Oil", Sheet1!$E$6, Sheet1!$E$11)</f>
        <v>1.3400000000000001E-6</v>
      </c>
      <c r="W3">
        <f>(V3*M3)*Assumptions_Formulas!$D$7</f>
        <v>9.1943445112781976</v>
      </c>
    </row>
    <row r="4" spans="1:23" x14ac:dyDescent="0.3">
      <c r="A4" t="s">
        <v>76</v>
      </c>
      <c r="B4" t="s">
        <v>77</v>
      </c>
      <c r="C4">
        <v>31.733073999999998</v>
      </c>
      <c r="D4">
        <v>73.873509900000002</v>
      </c>
      <c r="E4" t="s">
        <v>69</v>
      </c>
      <c r="F4" t="s">
        <v>70</v>
      </c>
      <c r="H4" t="s">
        <v>71</v>
      </c>
      <c r="I4" t="s">
        <v>72</v>
      </c>
      <c r="J4">
        <v>134</v>
      </c>
      <c r="K4" t="s">
        <v>120</v>
      </c>
      <c r="L4" s="5">
        <v>0.46300000000000002</v>
      </c>
      <c r="M4" s="3">
        <f>IF(F4="Furnace Oil",J4*L4*Assumptions_Formulas!$D$2*Assumptions_Formulas!$D$4,(J4*L4*Assumptions_Formulas!$D$2)/(0.35*0.038))</f>
        <v>137502443.76000002</v>
      </c>
      <c r="N4" s="3">
        <f>IF(F4="Furnace Oil", Sheet1!$E$5,Sheet1!$E$10)</f>
        <v>3.6911159999999997E-6</v>
      </c>
      <c r="O4" s="3">
        <f>(M4*N4)*Assumptions_Formulas!$D$7</f>
        <v>25.376873510081811</v>
      </c>
      <c r="P4" s="4">
        <f>IF(F4="Furnace Oil", Sheet1!$E$2, Sheet1!$E$7)</f>
        <v>2.4041159999999996E-6</v>
      </c>
      <c r="Q4" s="3">
        <f>(M4*P4)*Assumptions_Formulas!$D$7</f>
        <v>16.528591254125811</v>
      </c>
      <c r="R4" s="3">
        <f>IF(F4 = "Furnace Oil", Sheet1!$E$3, Sheet1!$E$8)</f>
        <v>6.5939999999999995E-5</v>
      </c>
      <c r="S4" s="3">
        <f>(R4*M4)*Assumptions_Formulas!$D$7</f>
        <v>453.34555707672007</v>
      </c>
      <c r="T4">
        <f>IF(F4="Furnace Oil",Sheet1!$E$4,Sheet1!$E$9)</f>
        <v>6.5999999999999995E-6</v>
      </c>
      <c r="U4">
        <f>(T4*M4)*Assumptions_Formulas!$D$16</f>
        <v>90.75161288160001</v>
      </c>
      <c r="V4">
        <f>IF(F4="Furnace Oil", Sheet1!$E$6, Sheet1!$E$11)</f>
        <v>5.9999999999999997E-7</v>
      </c>
      <c r="W4">
        <f>(V4*M4)*Assumptions_Formulas!$D$7</f>
        <v>4.1250733128000006</v>
      </c>
    </row>
    <row r="5" spans="1:23" x14ac:dyDescent="0.3">
      <c r="A5" t="s">
        <v>78</v>
      </c>
      <c r="B5" t="s">
        <v>79</v>
      </c>
      <c r="C5">
        <v>31.678384999999999</v>
      </c>
      <c r="D5">
        <v>74.085086500000003</v>
      </c>
      <c r="E5" t="s">
        <v>69</v>
      </c>
      <c r="F5" t="s">
        <v>70</v>
      </c>
      <c r="H5" t="s">
        <v>71</v>
      </c>
      <c r="I5" t="s">
        <v>72</v>
      </c>
      <c r="J5">
        <v>225</v>
      </c>
      <c r="K5" t="s">
        <v>120</v>
      </c>
      <c r="L5" s="5">
        <v>0.46300000000000002</v>
      </c>
      <c r="M5" s="3">
        <f>IF(F5="Furnace Oil",J5*L5*Assumptions_Formulas!$D$2*Assumptions_Formulas!$D$4,(J5*L5*Assumptions_Formulas!$D$2)/(0.35*0.038))</f>
        <v>230880969.00000003</v>
      </c>
      <c r="N5" s="3">
        <f>IF(F5="Furnace Oil", Sheet1!$E$5,Sheet1!$E$10)</f>
        <v>3.6911159999999997E-6</v>
      </c>
      <c r="O5" s="3">
        <f>(M5*N5)*Assumptions_Formulas!$D$7</f>
        <v>42.610421938570205</v>
      </c>
      <c r="P5" s="4">
        <f>IF(F5="Furnace Oil", Sheet1!$E$2, Sheet1!$E$7)</f>
        <v>2.4041159999999996E-6</v>
      </c>
      <c r="Q5" s="3">
        <f>(M5*P5)*Assumptions_Formulas!$D$7</f>
        <v>27.753231583420202</v>
      </c>
      <c r="R5" s="3">
        <f>IF(F5 = "Furnace Oil", Sheet1!$E$3, Sheet1!$E$8)</f>
        <v>6.5939999999999995E-5</v>
      </c>
      <c r="S5" s="3">
        <f>(R5*M5)*Assumptions_Formulas!$D$7</f>
        <v>761.21455479300005</v>
      </c>
      <c r="T5">
        <f>IF(F5="Furnace Oil",Sheet1!$E$4,Sheet1!$E$9)</f>
        <v>6.5999999999999995E-6</v>
      </c>
      <c r="U5">
        <f>(T5*M5)*Assumptions_Formulas!$D$16</f>
        <v>152.38143954</v>
      </c>
      <c r="V5">
        <f>IF(F5="Furnace Oil", Sheet1!$E$6, Sheet1!$E$11)</f>
        <v>5.9999999999999997E-7</v>
      </c>
      <c r="W5">
        <f>(V5*M5)*Assumptions_Formulas!$D$7</f>
        <v>6.9264290700000011</v>
      </c>
    </row>
    <row r="6" spans="1:23" x14ac:dyDescent="0.3">
      <c r="A6" t="s">
        <v>80</v>
      </c>
      <c r="B6" t="s">
        <v>81</v>
      </c>
      <c r="C6">
        <v>30.696210000000001</v>
      </c>
      <c r="D6">
        <v>73.260595100000003</v>
      </c>
      <c r="E6" t="s">
        <v>69</v>
      </c>
      <c r="F6" t="s">
        <v>75</v>
      </c>
      <c r="H6" t="s">
        <v>71</v>
      </c>
      <c r="I6" t="s">
        <v>72</v>
      </c>
      <c r="J6">
        <v>225</v>
      </c>
      <c r="K6" t="s">
        <v>120</v>
      </c>
      <c r="L6" s="5">
        <v>0.46300000000000002</v>
      </c>
      <c r="M6" s="3">
        <f>IF(F6="Furnace Oil",J6*L6*Assumptions_Formulas!$D$2*Assumptions_Formulas!$D$4,(J6*L6*Assumptions_Formulas!$D$2)/(0.35*0.038))</f>
        <v>68614511.2781955</v>
      </c>
      <c r="N6" s="3">
        <f>IF(F6="Furnace Oil", Sheet1!$E$5,Sheet1!$E$10)</f>
        <v>1.2200000000000001E-7</v>
      </c>
      <c r="O6" s="3">
        <f>(M6*N6)*Assumptions_Formulas!$D$7</f>
        <v>0.41854851879699262</v>
      </c>
      <c r="P6" s="4">
        <f>IF(F6="Furnace Oil", Sheet1!$E$2, Sheet1!$E$7)</f>
        <v>1.222E-7</v>
      </c>
      <c r="Q6" s="3">
        <f>(M6*P6)*Assumptions_Formulas!$D$7</f>
        <v>0.41923466390977454</v>
      </c>
      <c r="R6" s="3">
        <f>IF(F6 = "Furnace Oil", Sheet1!$E$3, Sheet1!$E$8)</f>
        <v>9.5999999999999999E-9</v>
      </c>
      <c r="S6" s="3">
        <f>(R6*M6)*Assumptions_Formulas!$D$7</f>
        <v>3.2934965413533843E-2</v>
      </c>
      <c r="T6">
        <f>IF(F6="Furnace Oil",Sheet1!$E$4,Sheet1!$E$9)</f>
        <v>1.6000000000000001E-6</v>
      </c>
      <c r="U6">
        <f>(T6*M6)*Assumptions_Formulas!$D$16</f>
        <v>10.978321804511282</v>
      </c>
      <c r="V6">
        <f>IF(F6="Furnace Oil", Sheet1!$E$6, Sheet1!$E$11)</f>
        <v>1.3400000000000001E-6</v>
      </c>
      <c r="W6">
        <f>(V6*M6)*Assumptions_Formulas!$D$7</f>
        <v>4.5971722556390988</v>
      </c>
    </row>
    <row r="7" spans="1:23" x14ac:dyDescent="0.3">
      <c r="A7" t="s">
        <v>82</v>
      </c>
      <c r="B7" t="s">
        <v>83</v>
      </c>
      <c r="C7">
        <v>31.187860000000001</v>
      </c>
      <c r="D7">
        <v>73.890052299999994</v>
      </c>
      <c r="E7" t="s">
        <v>69</v>
      </c>
      <c r="F7" t="s">
        <v>75</v>
      </c>
      <c r="H7" t="s">
        <v>71</v>
      </c>
      <c r="I7" t="s">
        <v>72</v>
      </c>
      <c r="J7">
        <v>225</v>
      </c>
      <c r="K7" t="s">
        <v>120</v>
      </c>
      <c r="L7" s="5">
        <v>0.46300000000000002</v>
      </c>
      <c r="M7" s="3">
        <f>IF(F7="Furnace Oil",J7*L7*Assumptions_Formulas!$D$2*Assumptions_Formulas!$D$4,(J7*L7*Assumptions_Formulas!$D$2)/(0.35*0.038))</f>
        <v>68614511.2781955</v>
      </c>
      <c r="N7" s="3">
        <f>IF(F7="Furnace Oil", Sheet1!$E$5,Sheet1!$E$10)</f>
        <v>1.2200000000000001E-7</v>
      </c>
      <c r="O7" s="3">
        <f>(M7*N7)*Assumptions_Formulas!$D$7</f>
        <v>0.41854851879699262</v>
      </c>
      <c r="P7" s="4">
        <f>IF(F7="Furnace Oil", Sheet1!$E$2, Sheet1!$E$7)</f>
        <v>1.222E-7</v>
      </c>
      <c r="Q7" s="3">
        <f>(M7*P7)*Assumptions_Formulas!$D$7</f>
        <v>0.41923466390977454</v>
      </c>
      <c r="R7" s="3">
        <f>IF(F7 = "Furnace Oil", Sheet1!$E$3, Sheet1!$E$8)</f>
        <v>9.5999999999999999E-9</v>
      </c>
      <c r="S7" s="3">
        <f>(R7*M7)*Assumptions_Formulas!$D$7</f>
        <v>3.2934965413533843E-2</v>
      </c>
      <c r="T7">
        <f>IF(F7="Furnace Oil",Sheet1!$E$4,Sheet1!$E$9)</f>
        <v>1.6000000000000001E-6</v>
      </c>
      <c r="U7">
        <f>(T7*M7)*Assumptions_Formulas!$D$16</f>
        <v>10.978321804511282</v>
      </c>
      <c r="V7">
        <f>IF(F7="Furnace Oil", Sheet1!$E$6, Sheet1!$E$11)</f>
        <v>1.3400000000000001E-6</v>
      </c>
      <c r="W7">
        <f>(V7*M7)*Assumptions_Formulas!$D$7</f>
        <v>4.5971722556390988</v>
      </c>
    </row>
    <row r="8" spans="1:23" x14ac:dyDescent="0.3">
      <c r="A8" t="s">
        <v>84</v>
      </c>
      <c r="B8" t="s">
        <v>85</v>
      </c>
      <c r="C8">
        <v>31.122247999999999</v>
      </c>
      <c r="D8">
        <v>73.905394099999995</v>
      </c>
      <c r="E8" t="s">
        <v>69</v>
      </c>
      <c r="F8" t="s">
        <v>70</v>
      </c>
      <c r="H8" t="s">
        <v>71</v>
      </c>
      <c r="I8" t="s">
        <v>72</v>
      </c>
      <c r="J8">
        <v>195</v>
      </c>
      <c r="K8" t="s">
        <v>120</v>
      </c>
      <c r="L8" s="5">
        <v>0.46300000000000002</v>
      </c>
      <c r="M8" s="3">
        <f>IF(F8="Furnace Oil",J8*L8*Assumptions_Formulas!$D$2*Assumptions_Formulas!$D$4,(J8*L8*Assumptions_Formulas!$D$2)/(0.35*0.038))</f>
        <v>200096839.80000001</v>
      </c>
      <c r="N8" s="3">
        <f>IF(F8="Furnace Oil", Sheet1!$E$5,Sheet1!$E$10)</f>
        <v>3.6911159999999997E-6</v>
      </c>
      <c r="O8" s="3">
        <f>(M8*N8)*Assumptions_Formulas!$D$7</f>
        <v>36.929032346760842</v>
      </c>
      <c r="P8" s="4">
        <f>IF(F8="Furnace Oil", Sheet1!$E$2, Sheet1!$E$7)</f>
        <v>2.4041159999999996E-6</v>
      </c>
      <c r="Q8" s="3">
        <f>(M8*P8)*Assumptions_Formulas!$D$7</f>
        <v>24.05280070563084</v>
      </c>
      <c r="R8" s="3">
        <f>IF(F8 = "Furnace Oil", Sheet1!$E$3, Sheet1!$E$8)</f>
        <v>6.5939999999999995E-5</v>
      </c>
      <c r="S8" s="3">
        <f>(R8*M8)*Assumptions_Formulas!$D$7</f>
        <v>659.71928082060003</v>
      </c>
      <c r="T8">
        <f>IF(F8="Furnace Oil",Sheet1!$E$4,Sheet1!$E$9)</f>
        <v>6.5999999999999995E-6</v>
      </c>
      <c r="U8">
        <f>(T8*M8)*Assumptions_Formulas!$D$16</f>
        <v>132.06391426800002</v>
      </c>
      <c r="V8">
        <f>IF(F8="Furnace Oil", Sheet1!$E$6, Sheet1!$E$11)</f>
        <v>5.9999999999999997E-7</v>
      </c>
      <c r="W8">
        <f>(V8*M8)*Assumptions_Formulas!$D$7</f>
        <v>6.0029051940000002</v>
      </c>
    </row>
    <row r="9" spans="1:23" x14ac:dyDescent="0.3">
      <c r="A9" t="s">
        <v>86</v>
      </c>
      <c r="B9" t="s">
        <v>87</v>
      </c>
      <c r="C9">
        <v>31.123387000000001</v>
      </c>
      <c r="D9">
        <v>73.9053045</v>
      </c>
      <c r="E9" t="s">
        <v>69</v>
      </c>
      <c r="F9" t="s">
        <v>70</v>
      </c>
      <c r="H9" t="s">
        <v>71</v>
      </c>
      <c r="I9" t="s">
        <v>72</v>
      </c>
      <c r="J9">
        <v>195</v>
      </c>
      <c r="K9" t="s">
        <v>120</v>
      </c>
      <c r="L9" s="5">
        <v>0.46300000000000002</v>
      </c>
      <c r="M9" s="3">
        <f>IF(F9="Furnace Oil",J9*L9*Assumptions_Formulas!$D$2*Assumptions_Formulas!$D$4,(J9*L9*Assumptions_Formulas!$D$2)/(0.35*0.038))</f>
        <v>200096839.80000001</v>
      </c>
      <c r="N9" s="3">
        <f>IF(F9="Furnace Oil", Sheet1!$E$5,Sheet1!$E$10)</f>
        <v>3.6911159999999997E-6</v>
      </c>
      <c r="O9" s="3">
        <f>(M9*N9)*Assumptions_Formulas!$D$7</f>
        <v>36.929032346760842</v>
      </c>
      <c r="P9" s="4">
        <f>IF(F9="Furnace Oil", Sheet1!$E$2, Sheet1!$E$7)</f>
        <v>2.4041159999999996E-6</v>
      </c>
      <c r="Q9" s="3">
        <f>(M9*P9)*Assumptions_Formulas!$D$7</f>
        <v>24.05280070563084</v>
      </c>
      <c r="R9" s="3">
        <f>IF(F9 = "Furnace Oil", Sheet1!$E$3, Sheet1!$E$8)</f>
        <v>6.5939999999999995E-5</v>
      </c>
      <c r="S9" s="3">
        <f>(R9*M9)*Assumptions_Formulas!$D$7</f>
        <v>659.71928082060003</v>
      </c>
      <c r="T9">
        <f>IF(F9="Furnace Oil",Sheet1!$E$4,Sheet1!$E$9)</f>
        <v>6.5999999999999995E-6</v>
      </c>
      <c r="U9">
        <f>(T9*M9)*Assumptions_Formulas!$D$16</f>
        <v>132.06391426800002</v>
      </c>
      <c r="V9">
        <f>IF(F9="Furnace Oil", Sheet1!$E$6, Sheet1!$E$11)</f>
        <v>5.9999999999999997E-7</v>
      </c>
      <c r="W9">
        <f>(V9*M9)*Assumptions_Formulas!$D$7</f>
        <v>6.0029051940000002</v>
      </c>
    </row>
    <row r="10" spans="1:23" x14ac:dyDescent="0.3">
      <c r="A10" t="s">
        <v>88</v>
      </c>
      <c r="B10" t="s">
        <v>89</v>
      </c>
      <c r="C10">
        <v>31.760857999999999</v>
      </c>
      <c r="D10">
        <v>74.033399799999998</v>
      </c>
      <c r="E10" t="s">
        <v>69</v>
      </c>
      <c r="F10" t="s">
        <v>75</v>
      </c>
      <c r="H10" t="s">
        <v>71</v>
      </c>
      <c r="I10" t="s">
        <v>72</v>
      </c>
      <c r="J10">
        <v>225</v>
      </c>
      <c r="K10" t="s">
        <v>120</v>
      </c>
      <c r="L10" s="5">
        <v>0.46300000000000002</v>
      </c>
      <c r="M10" s="3">
        <f>IF(F10="Furnace Oil",J10*L10*Assumptions_Formulas!$D$2*Assumptions_Formulas!$D$4,(J10*L10*Assumptions_Formulas!$D$2)/(0.35*0.038))</f>
        <v>68614511.2781955</v>
      </c>
      <c r="N10" s="3">
        <f>IF(F10="Furnace Oil", Sheet1!$E$5,Sheet1!$E$10)</f>
        <v>1.2200000000000001E-7</v>
      </c>
      <c r="O10" s="3">
        <f>(M10*N10)*Assumptions_Formulas!$D$7</f>
        <v>0.41854851879699262</v>
      </c>
      <c r="P10" s="4">
        <f>IF(F10="Furnace Oil", Sheet1!$E$2, Sheet1!$E$7)</f>
        <v>1.222E-7</v>
      </c>
      <c r="Q10" s="3">
        <f>(M10*P10)*Assumptions_Formulas!$D$7</f>
        <v>0.41923466390977454</v>
      </c>
      <c r="R10" s="3">
        <f>IF(F10 = "Furnace Oil", Sheet1!$E$3, Sheet1!$E$8)</f>
        <v>9.5999999999999999E-9</v>
      </c>
      <c r="S10" s="3">
        <f>(R10*M10)*Assumptions_Formulas!$D$7</f>
        <v>3.2934965413533843E-2</v>
      </c>
      <c r="T10">
        <f>IF(F10="Furnace Oil",Sheet1!$E$4,Sheet1!$E$9)</f>
        <v>1.6000000000000001E-6</v>
      </c>
      <c r="U10">
        <f>(T10*M10)*Assumptions_Formulas!$D$16</f>
        <v>10.978321804511282</v>
      </c>
      <c r="V10">
        <f>IF(F10="Furnace Oil", Sheet1!$E$6, Sheet1!$E$11)</f>
        <v>1.3400000000000001E-6</v>
      </c>
      <c r="W10">
        <f>(V10*M10)*Assumptions_Formulas!$D$7</f>
        <v>4.5971722556390988</v>
      </c>
    </row>
    <row r="11" spans="1:23" x14ac:dyDescent="0.3">
      <c r="A11" t="s">
        <v>90</v>
      </c>
      <c r="B11" t="s">
        <v>91</v>
      </c>
      <c r="C11">
        <v>31.633140999999998</v>
      </c>
      <c r="D11">
        <v>73.870310799999999</v>
      </c>
      <c r="E11" t="s">
        <v>69</v>
      </c>
      <c r="F11" t="s">
        <v>75</v>
      </c>
      <c r="H11" t="s">
        <v>71</v>
      </c>
      <c r="I11" t="s">
        <v>72</v>
      </c>
      <c r="J11">
        <v>225</v>
      </c>
      <c r="K11" t="s">
        <v>120</v>
      </c>
      <c r="L11" s="5">
        <v>0.46300000000000002</v>
      </c>
      <c r="M11" s="3">
        <f>IF(F11="Furnace Oil",J11*L11*Assumptions_Formulas!$D$2*Assumptions_Formulas!$D$4,(J11*L11*Assumptions_Formulas!$D$2)/(0.35*0.038))</f>
        <v>68614511.2781955</v>
      </c>
      <c r="N11" s="3">
        <f>IF(F11="Furnace Oil", Sheet1!$E$5,Sheet1!$E$10)</f>
        <v>1.2200000000000001E-7</v>
      </c>
      <c r="O11" s="3">
        <f>(M11*N11)*Assumptions_Formulas!$D$7</f>
        <v>0.41854851879699262</v>
      </c>
      <c r="P11" s="4">
        <f>IF(F11="Furnace Oil", Sheet1!$E$2, Sheet1!$E$7)</f>
        <v>1.222E-7</v>
      </c>
      <c r="Q11" s="3">
        <f>(M11*P11)*Assumptions_Formulas!$D$7</f>
        <v>0.41923466390977454</v>
      </c>
      <c r="R11" s="3">
        <f>IF(F11 = "Furnace Oil", Sheet1!$E$3, Sheet1!$E$8)</f>
        <v>9.5999999999999999E-9</v>
      </c>
      <c r="S11" s="3">
        <f>(R11*M11)*Assumptions_Formulas!$D$7</f>
        <v>3.2934965413533843E-2</v>
      </c>
      <c r="T11">
        <f>IF(F11="Furnace Oil",Sheet1!$E$4,Sheet1!$E$9)</f>
        <v>1.6000000000000001E-6</v>
      </c>
      <c r="U11">
        <f>(T11*M11)*Assumptions_Formulas!$D$16</f>
        <v>10.978321804511282</v>
      </c>
      <c r="V11">
        <f>IF(F11="Furnace Oil", Sheet1!$E$6, Sheet1!$E$11)</f>
        <v>1.3400000000000001E-6</v>
      </c>
      <c r="W11">
        <f>(V11*M11)*Assumptions_Formulas!$D$7</f>
        <v>4.5971722556390988</v>
      </c>
    </row>
    <row r="12" spans="1:23" x14ac:dyDescent="0.3">
      <c r="A12" t="s">
        <v>92</v>
      </c>
      <c r="B12" t="s">
        <v>93</v>
      </c>
      <c r="C12">
        <v>32.059081999999997</v>
      </c>
      <c r="D12">
        <v>74.781274800000006</v>
      </c>
      <c r="E12" t="s">
        <v>69</v>
      </c>
      <c r="F12" t="s">
        <v>70</v>
      </c>
      <c r="H12" t="s">
        <v>71</v>
      </c>
      <c r="I12" t="s">
        <v>72</v>
      </c>
      <c r="J12">
        <v>214</v>
      </c>
      <c r="K12" t="s">
        <v>120</v>
      </c>
      <c r="L12" s="5">
        <v>0.46300000000000002</v>
      </c>
      <c r="M12" s="3">
        <f>IF(F12="Furnace Oil",J12*L12*Assumptions_Formulas!$D$2*Assumptions_Formulas!$D$4,(J12*L12*Assumptions_Formulas!$D$2)/(0.35*0.038))</f>
        <v>219593454.96000001</v>
      </c>
      <c r="N12" s="3">
        <f>IF(F12="Furnace Oil", Sheet1!$E$5,Sheet1!$E$10)</f>
        <v>3.6911159999999997E-6</v>
      </c>
      <c r="O12" s="3">
        <f>(M12*N12)*Assumptions_Formulas!$D$7</f>
        <v>40.527245754906772</v>
      </c>
      <c r="P12" s="4">
        <f>IF(F12="Furnace Oil", Sheet1!$E$2, Sheet1!$E$7)</f>
        <v>2.4041159999999996E-6</v>
      </c>
      <c r="Q12" s="3">
        <f>(M12*P12)*Assumptions_Formulas!$D$7</f>
        <v>26.396406928230768</v>
      </c>
      <c r="R12" s="3">
        <f>IF(F12 = "Furnace Oil", Sheet1!$E$3, Sheet1!$E$8)</f>
        <v>6.5939999999999995E-5</v>
      </c>
      <c r="S12" s="3">
        <f>(R12*M12)*Assumptions_Formulas!$D$7</f>
        <v>723.99962100311996</v>
      </c>
      <c r="T12">
        <f>IF(F12="Furnace Oil",Sheet1!$E$4,Sheet1!$E$9)</f>
        <v>6.5999999999999995E-6</v>
      </c>
      <c r="U12">
        <f>(T12*M12)*Assumptions_Formulas!$D$16</f>
        <v>144.93168027359999</v>
      </c>
      <c r="V12">
        <f>IF(F12="Furnace Oil", Sheet1!$E$6, Sheet1!$E$11)</f>
        <v>5.9999999999999997E-7</v>
      </c>
      <c r="W12">
        <f>(V12*M12)*Assumptions_Formulas!$D$7</f>
        <v>6.5878036488000014</v>
      </c>
    </row>
    <row r="13" spans="1:23" x14ac:dyDescent="0.3">
      <c r="A13" t="s">
        <v>94</v>
      </c>
      <c r="B13" t="s">
        <v>95</v>
      </c>
      <c r="C13">
        <v>31.699591999999999</v>
      </c>
      <c r="D13">
        <v>73.210920999999999</v>
      </c>
      <c r="E13" t="s">
        <v>69</v>
      </c>
      <c r="F13" t="s">
        <v>70</v>
      </c>
      <c r="H13" t="s">
        <v>71</v>
      </c>
      <c r="I13" t="s">
        <v>72</v>
      </c>
      <c r="J13">
        <v>200</v>
      </c>
      <c r="K13" t="s">
        <v>120</v>
      </c>
      <c r="L13" s="5">
        <v>0.46300000000000002</v>
      </c>
      <c r="M13" s="3">
        <f>IF(F13="Furnace Oil",J13*L13*Assumptions_Formulas!$D$2*Assumptions_Formulas!$D$4,(J13*L13*Assumptions_Formulas!$D$2)/(0.35*0.038))</f>
        <v>205227528.00000003</v>
      </c>
      <c r="N13" s="3">
        <f>IF(F13="Furnace Oil", Sheet1!$E$5,Sheet1!$E$10)</f>
        <v>3.6911159999999997E-6</v>
      </c>
      <c r="O13" s="3">
        <f>(M13*N13)*Assumptions_Formulas!$D$7</f>
        <v>37.875930612062405</v>
      </c>
      <c r="P13" s="4">
        <f>IF(F13="Furnace Oil", Sheet1!$E$2, Sheet1!$E$7)</f>
        <v>2.4041159999999996E-6</v>
      </c>
      <c r="Q13" s="3">
        <f>(M13*P13)*Assumptions_Formulas!$D$7</f>
        <v>24.669539185262401</v>
      </c>
      <c r="R13" s="3">
        <f>IF(F13 = "Furnace Oil", Sheet1!$E$3, Sheet1!$E$8)</f>
        <v>6.5939999999999995E-5</v>
      </c>
      <c r="S13" s="3">
        <f>(R13*M13)*Assumptions_Formulas!$D$7</f>
        <v>676.63515981600005</v>
      </c>
      <c r="T13">
        <f>IF(F13="Furnace Oil",Sheet1!$E$4,Sheet1!$E$9)</f>
        <v>6.5999999999999995E-6</v>
      </c>
      <c r="U13">
        <f>(T13*M13)*Assumptions_Formulas!$D$16</f>
        <v>135.45016848</v>
      </c>
      <c r="V13">
        <f>IF(F13="Furnace Oil", Sheet1!$E$6, Sheet1!$E$11)</f>
        <v>5.9999999999999997E-7</v>
      </c>
      <c r="W13">
        <f>(V13*M13)*Assumptions_Formulas!$D$7</f>
        <v>6.1568258400000007</v>
      </c>
    </row>
    <row r="14" spans="1:23" x14ac:dyDescent="0.3">
      <c r="A14" t="s">
        <v>96</v>
      </c>
      <c r="B14" t="s">
        <v>97</v>
      </c>
      <c r="C14">
        <v>31.246171</v>
      </c>
      <c r="D14">
        <v>74.177849199999997</v>
      </c>
      <c r="E14" t="s">
        <v>69</v>
      </c>
      <c r="F14" t="s">
        <v>70</v>
      </c>
      <c r="H14" t="s">
        <v>71</v>
      </c>
      <c r="I14" t="s">
        <v>72</v>
      </c>
      <c r="J14">
        <v>96</v>
      </c>
      <c r="K14" t="s">
        <v>120</v>
      </c>
      <c r="L14" s="5">
        <v>0.46300000000000002</v>
      </c>
      <c r="M14" s="3">
        <f>IF(F14="Furnace Oil",J14*L14*Assumptions_Formulas!$D$2*Assumptions_Formulas!$D$4,(J14*L14*Assumptions_Formulas!$D$2)/(0.35*0.038))</f>
        <v>98509213.439999998</v>
      </c>
      <c r="N14" s="3">
        <f>IF(F14="Furnace Oil", Sheet1!$E$5,Sheet1!$E$10)</f>
        <v>3.6911159999999997E-6</v>
      </c>
      <c r="O14" s="3">
        <f>(M14*N14)*Assumptions_Formulas!$D$7</f>
        <v>18.18044669378995</v>
      </c>
      <c r="P14" s="4">
        <f>IF(F14="Furnace Oil", Sheet1!$E$2, Sheet1!$E$7)</f>
        <v>2.4041159999999996E-6</v>
      </c>
      <c r="Q14" s="3">
        <f>(M14*P14)*Assumptions_Formulas!$D$7</f>
        <v>11.841378808925951</v>
      </c>
      <c r="R14" s="3">
        <f>IF(F14 = "Furnace Oil", Sheet1!$E$3, Sheet1!$E$8)</f>
        <v>6.5939999999999995E-5</v>
      </c>
      <c r="S14" s="3">
        <f>(R14*M14)*Assumptions_Formulas!$D$7</f>
        <v>324.78487671168</v>
      </c>
      <c r="T14">
        <f>IF(F14="Furnace Oil",Sheet1!$E$4,Sheet1!$E$9)</f>
        <v>6.5999999999999995E-6</v>
      </c>
      <c r="U14">
        <f>(T14*M14)*Assumptions_Formulas!$D$16</f>
        <v>65.016080870399989</v>
      </c>
      <c r="V14">
        <f>IF(F14="Furnace Oil", Sheet1!$E$6, Sheet1!$E$11)</f>
        <v>5.9999999999999997E-7</v>
      </c>
      <c r="W14">
        <f>(V14*M14)*Assumptions_Formulas!$D$7</f>
        <v>2.9552764032000001</v>
      </c>
    </row>
    <row r="15" spans="1:23" x14ac:dyDescent="0.3">
      <c r="A15" t="s">
        <v>98</v>
      </c>
      <c r="B15" t="s">
        <v>99</v>
      </c>
      <c r="C15">
        <v>32.062449000000001</v>
      </c>
      <c r="D15">
        <v>74.238869600000001</v>
      </c>
      <c r="E15" t="s">
        <v>69</v>
      </c>
      <c r="F15" t="s">
        <v>70</v>
      </c>
      <c r="H15" t="s">
        <v>71</v>
      </c>
      <c r="I15" t="s">
        <v>72</v>
      </c>
      <c r="J15">
        <v>85</v>
      </c>
      <c r="K15" t="s">
        <v>120</v>
      </c>
      <c r="L15" s="5">
        <v>0.46300000000000002</v>
      </c>
      <c r="M15" s="3">
        <f>IF(F15="Furnace Oil",J15*L15*Assumptions_Formulas!$D$2*Assumptions_Formulas!$D$4,(J15*L15*Assumptions_Formulas!$D$2)/(0.35*0.038))</f>
        <v>87221699.400000006</v>
      </c>
      <c r="N15" s="3">
        <f>IF(F15="Furnace Oil", Sheet1!$E$5,Sheet1!$E$10)</f>
        <v>3.6911159999999997E-6</v>
      </c>
      <c r="O15" s="3">
        <f>(M15*N15)*Assumptions_Formulas!$D$7</f>
        <v>16.097270510126521</v>
      </c>
      <c r="P15" s="4">
        <f>IF(F15="Furnace Oil", Sheet1!$E$2, Sheet1!$E$7)</f>
        <v>2.4041159999999996E-6</v>
      </c>
      <c r="Q15" s="3">
        <f>(M15*P15)*Assumptions_Formulas!$D$7</f>
        <v>10.48455415373652</v>
      </c>
      <c r="R15" s="3">
        <f>IF(F15 = "Furnace Oil", Sheet1!$E$3, Sheet1!$E$8)</f>
        <v>6.5939999999999995E-5</v>
      </c>
      <c r="S15" s="3">
        <f>(R15*M15)*Assumptions_Formulas!$D$7</f>
        <v>287.56994292180002</v>
      </c>
      <c r="T15">
        <f>IF(F15="Furnace Oil",Sheet1!$E$4,Sheet1!$E$9)</f>
        <v>6.5999999999999995E-6</v>
      </c>
      <c r="U15">
        <f>(T15*M15)*Assumptions_Formulas!$D$16</f>
        <v>57.566321603999995</v>
      </c>
      <c r="V15">
        <f>IF(F15="Furnace Oil", Sheet1!$E$6, Sheet1!$E$11)</f>
        <v>5.9999999999999997E-7</v>
      </c>
      <c r="W15">
        <f>(V15*M15)*Assumptions_Formulas!$D$7</f>
        <v>2.6166509820000003</v>
      </c>
    </row>
    <row r="16" spans="1:23" x14ac:dyDescent="0.3">
      <c r="A16" t="s">
        <v>100</v>
      </c>
      <c r="B16" t="s">
        <v>101</v>
      </c>
      <c r="C16">
        <v>31.605906999999998</v>
      </c>
      <c r="D16">
        <v>73.905887300000003</v>
      </c>
      <c r="E16" t="s">
        <v>69</v>
      </c>
      <c r="F16" t="s">
        <v>102</v>
      </c>
      <c r="H16" t="s">
        <v>71</v>
      </c>
      <c r="I16" t="s">
        <v>72</v>
      </c>
      <c r="J16">
        <v>1180</v>
      </c>
      <c r="K16" t="s">
        <v>120</v>
      </c>
      <c r="L16" s="5">
        <v>0.46300000000000002</v>
      </c>
      <c r="M16" s="3">
        <f>IF(F16="Furnace Oil",J16*L16*Assumptions_Formulas!$D$2*Assumptions_Formulas!$D$4,(J16*L16*Assumptions_Formulas!$D$2)/(0.35*0.038))</f>
        <v>359844992.48120308</v>
      </c>
      <c r="N16" s="3">
        <f>IF(F16="Furnace Oil", Sheet1!$E$5,Sheet1!$E$10)</f>
        <v>1.2200000000000001E-7</v>
      </c>
      <c r="O16" s="3">
        <f>(M16*N16)*Assumptions_Formulas!$D$7</f>
        <v>2.195054454135339</v>
      </c>
      <c r="P16" s="4">
        <f>IF(F16="Furnace Oil", Sheet1!$E$2, Sheet1!$E$7)</f>
        <v>1.222E-7</v>
      </c>
      <c r="Q16" s="3">
        <f>(M16*P16)*Assumptions_Formulas!$D$7</f>
        <v>2.1986529040601508</v>
      </c>
      <c r="R16" s="3">
        <f>IF(F16 = "Furnace Oil", Sheet1!$E$3, Sheet1!$E$8)</f>
        <v>9.5999999999999999E-9</v>
      </c>
      <c r="S16" s="3">
        <f>(R16*M16)*Assumptions_Formulas!$D$7</f>
        <v>0.17272559639097751</v>
      </c>
      <c r="T16">
        <f>IF(F16="Furnace Oil",Sheet1!$E$4,Sheet1!$E$9)</f>
        <v>1.6000000000000001E-6</v>
      </c>
      <c r="U16">
        <f>(T16*M16)*Assumptions_Formulas!$D$16</f>
        <v>57.575198796992495</v>
      </c>
      <c r="V16">
        <f>IF(F16="Furnace Oil", Sheet1!$E$6, Sheet1!$E$11)</f>
        <v>1.3400000000000001E-6</v>
      </c>
      <c r="W16">
        <f>(V16*M16)*Assumptions_Formulas!$D$7</f>
        <v>24.10961449624061</v>
      </c>
    </row>
    <row r="17" spans="1:23" x14ac:dyDescent="0.3">
      <c r="A17" t="s">
        <v>103</v>
      </c>
      <c r="B17" t="s">
        <v>104</v>
      </c>
      <c r="C17">
        <v>31.03867</v>
      </c>
      <c r="D17">
        <v>73.924773000000002</v>
      </c>
      <c r="E17" t="s">
        <v>69</v>
      </c>
      <c r="F17" t="s">
        <v>102</v>
      </c>
      <c r="H17" t="s">
        <v>71</v>
      </c>
      <c r="I17" t="s">
        <v>72</v>
      </c>
      <c r="J17">
        <v>1223</v>
      </c>
      <c r="K17" t="s">
        <v>120</v>
      </c>
      <c r="L17" s="5">
        <v>0.46300000000000002</v>
      </c>
      <c r="M17" s="3">
        <f>IF(F17="Furnace Oil",J17*L17*Assumptions_Formulas!$D$2*Assumptions_Formulas!$D$4,(J17*L17*Assumptions_Formulas!$D$2)/(0.35*0.038))</f>
        <v>372957987.96992487</v>
      </c>
      <c r="N17" s="3">
        <f>IF(F17="Furnace Oil", Sheet1!$E$5,Sheet1!$E$10)</f>
        <v>1.2200000000000001E-7</v>
      </c>
      <c r="O17" s="3">
        <f>(M17*N17)*Assumptions_Formulas!$D$7</f>
        <v>2.2750437266165418</v>
      </c>
      <c r="P17" s="4">
        <f>IF(F17="Furnace Oil", Sheet1!$E$2, Sheet1!$E$7)</f>
        <v>1.222E-7</v>
      </c>
      <c r="Q17" s="3">
        <f>(M17*P17)*Assumptions_Formulas!$D$7</f>
        <v>2.278773306496241</v>
      </c>
      <c r="R17" s="3">
        <f>IF(F17 = "Furnace Oil", Sheet1!$E$3, Sheet1!$E$8)</f>
        <v>9.5999999999999999E-9</v>
      </c>
      <c r="S17" s="3">
        <f>(R17*M17)*Assumptions_Formulas!$D$7</f>
        <v>0.17901983422556395</v>
      </c>
      <c r="T17">
        <f>IF(F17="Furnace Oil",Sheet1!$E$4,Sheet1!$E$9)</f>
        <v>1.6000000000000001E-6</v>
      </c>
      <c r="U17">
        <f>(T17*M17)*Assumptions_Formulas!$D$16</f>
        <v>59.673278075187994</v>
      </c>
      <c r="V17">
        <f>IF(F17="Furnace Oil", Sheet1!$E$6, Sheet1!$E$11)</f>
        <v>1.3400000000000001E-6</v>
      </c>
      <c r="W17">
        <f>(V17*M17)*Assumptions_Formulas!$D$7</f>
        <v>24.988185193984968</v>
      </c>
    </row>
    <row r="18" spans="1:23" x14ac:dyDescent="0.3">
      <c r="A18" t="s">
        <v>105</v>
      </c>
      <c r="B18" t="s">
        <v>106</v>
      </c>
      <c r="C18">
        <v>31.126387000000001</v>
      </c>
      <c r="D18">
        <v>72.191330100000002</v>
      </c>
      <c r="E18" t="s">
        <v>69</v>
      </c>
      <c r="F18" t="s">
        <v>102</v>
      </c>
      <c r="H18" t="s">
        <v>71</v>
      </c>
      <c r="I18" t="s">
        <v>72</v>
      </c>
      <c r="J18">
        <v>1230</v>
      </c>
      <c r="K18" t="s">
        <v>120</v>
      </c>
      <c r="L18" s="5">
        <v>0.46300000000000002</v>
      </c>
      <c r="M18" s="3">
        <f>IF(F18="Furnace Oil",J18*L18*Assumptions_Formulas!$D$2*Assumptions_Formulas!$D$4,(J18*L18*Assumptions_Formulas!$D$2)/(0.35*0.038))</f>
        <v>375092661.65413541</v>
      </c>
      <c r="N18" s="3">
        <f>IF(F18="Furnace Oil", Sheet1!$E$5,Sheet1!$E$10)</f>
        <v>1.2200000000000001E-7</v>
      </c>
      <c r="O18" s="3">
        <f>(M18*N18)*Assumptions_Formulas!$D$7</f>
        <v>2.2880652360902261</v>
      </c>
      <c r="P18" s="4">
        <f>IF(F18="Furnace Oil", Sheet1!$E$2, Sheet1!$E$7)</f>
        <v>1.222E-7</v>
      </c>
      <c r="Q18" s="3">
        <f>(M18*P18)*Assumptions_Formulas!$D$7</f>
        <v>2.2918161627067675</v>
      </c>
      <c r="R18" s="3">
        <f>IF(F18 = "Furnace Oil", Sheet1!$E$3, Sheet1!$E$8)</f>
        <v>9.5999999999999999E-9</v>
      </c>
      <c r="S18" s="3">
        <f>(R18*M18)*Assumptions_Formulas!$D$7</f>
        <v>0.18004447759398501</v>
      </c>
      <c r="T18">
        <f>IF(F18="Furnace Oil",Sheet1!$E$4,Sheet1!$E$9)</f>
        <v>1.6000000000000001E-6</v>
      </c>
      <c r="U18">
        <f>(T18*M18)*Assumptions_Formulas!$D$16</f>
        <v>60.014825864661674</v>
      </c>
      <c r="V18">
        <f>IF(F18="Furnace Oil", Sheet1!$E$6, Sheet1!$E$11)</f>
        <v>1.3400000000000001E-6</v>
      </c>
      <c r="W18">
        <f>(V18*M18)*Assumptions_Formulas!$D$7</f>
        <v>25.131208330827075</v>
      </c>
    </row>
    <row r="19" spans="1:23" x14ac:dyDescent="0.3">
      <c r="A19" t="s">
        <v>107</v>
      </c>
      <c r="B19" t="s">
        <v>108</v>
      </c>
      <c r="C19">
        <v>31.611397</v>
      </c>
      <c r="D19">
        <v>72.760783200000006</v>
      </c>
      <c r="E19" t="s">
        <v>69</v>
      </c>
      <c r="F19" t="s">
        <v>109</v>
      </c>
      <c r="H19" t="s">
        <v>71</v>
      </c>
      <c r="I19" t="s">
        <v>72</v>
      </c>
      <c r="J19">
        <v>62</v>
      </c>
      <c r="K19" t="s">
        <v>120</v>
      </c>
      <c r="L19" s="5">
        <v>0.46300000000000002</v>
      </c>
      <c r="M19" s="3">
        <f>IF(F19="Furnace Oil",J19*L19*Assumptions_Formulas!$D$2*Assumptions_Formulas!$D$4,(J19*L19*Assumptions_Formulas!$D$2)/(0.35*0.038))</f>
        <v>18907109.774436094</v>
      </c>
      <c r="N19" s="3">
        <f>IF(F19="Furnace Oil", Sheet1!$E$5,Sheet1!$E$10)</f>
        <v>1.2200000000000001E-7</v>
      </c>
      <c r="O19" s="3">
        <f>(M19*N19)*Assumptions_Formulas!$D$7</f>
        <v>0.11533336962406018</v>
      </c>
      <c r="P19" s="4">
        <f>IF(F19="Furnace Oil", Sheet1!$E$2, Sheet1!$E$7)</f>
        <v>1.222E-7</v>
      </c>
      <c r="Q19" s="3">
        <f>(M19*P19)*Assumptions_Formulas!$D$7</f>
        <v>0.11552244072180454</v>
      </c>
      <c r="R19" s="3">
        <f>IF(F19 = "Furnace Oil", Sheet1!$E$3, Sheet1!$E$8)</f>
        <v>9.5999999999999999E-9</v>
      </c>
      <c r="S19" s="3">
        <f>(R19*M19)*Assumptions_Formulas!$D$7</f>
        <v>9.0754126917293246E-3</v>
      </c>
      <c r="T19">
        <f>IF(F19="Furnace Oil",Sheet1!$E$4,Sheet1!$E$9)</f>
        <v>1.6000000000000001E-6</v>
      </c>
      <c r="U19">
        <f>(T19*M19)*Assumptions_Formulas!$D$16</f>
        <v>3.0251375639097753</v>
      </c>
      <c r="V19">
        <f>IF(F19="Furnace Oil", Sheet1!$E$6, Sheet1!$E$11)</f>
        <v>1.3400000000000001E-6</v>
      </c>
      <c r="W19">
        <f>(V19*M19)*Assumptions_Formulas!$D$7</f>
        <v>1.2667763548872184</v>
      </c>
    </row>
    <row r="20" spans="1:23" x14ac:dyDescent="0.3">
      <c r="A20" t="s">
        <v>110</v>
      </c>
      <c r="B20" t="s">
        <v>111</v>
      </c>
      <c r="C20">
        <v>32.242589000000002</v>
      </c>
      <c r="D20">
        <v>74.269122699999997</v>
      </c>
      <c r="E20" t="s">
        <v>69</v>
      </c>
      <c r="F20" t="s">
        <v>70</v>
      </c>
      <c r="H20" t="s">
        <v>71</v>
      </c>
      <c r="I20" t="s">
        <v>72</v>
      </c>
      <c r="J20">
        <v>425</v>
      </c>
      <c r="K20" t="s">
        <v>120</v>
      </c>
      <c r="L20" s="5">
        <v>0.46300000000000002</v>
      </c>
      <c r="M20" s="3">
        <f>IF(F20="Furnace Oil",J20*L20*Assumptions_Formulas!$D$2*Assumptions_Formulas!$D$4,(J20*L20*Assumptions_Formulas!$D$2)/(0.35*0.038))</f>
        <v>436108497</v>
      </c>
      <c r="N20" s="3">
        <f>IF(F20="Furnace Oil", Sheet1!$E$5,Sheet1!$E$10)</f>
        <v>3.6911159999999997E-6</v>
      </c>
      <c r="O20" s="3">
        <f>(M20*N20)*Assumptions_Formulas!$D$7</f>
        <v>80.486352550632603</v>
      </c>
      <c r="P20" s="4">
        <f>IF(F20="Furnace Oil", Sheet1!$E$2, Sheet1!$E$7)</f>
        <v>2.4041159999999996E-6</v>
      </c>
      <c r="Q20" s="3">
        <f>(M20*P20)*Assumptions_Formulas!$D$7</f>
        <v>52.422770768682597</v>
      </c>
      <c r="R20" s="3">
        <f>IF(F20 = "Furnace Oil", Sheet1!$E$3, Sheet1!$E$8)</f>
        <v>6.5939999999999995E-5</v>
      </c>
      <c r="S20" s="3">
        <f>(R20*M20)*Assumptions_Formulas!$D$7</f>
        <v>1437.8497146090001</v>
      </c>
      <c r="T20">
        <f>IF(F20="Furnace Oil",Sheet1!$E$4,Sheet1!$E$9)</f>
        <v>6.5999999999999995E-6</v>
      </c>
      <c r="U20">
        <f>(T20*M20)*Assumptions_Formulas!$D$16</f>
        <v>287.83160801999998</v>
      </c>
      <c r="V20">
        <f>IF(F20="Furnace Oil", Sheet1!$E$6, Sheet1!$E$11)</f>
        <v>5.9999999999999997E-7</v>
      </c>
      <c r="W20">
        <f>(V20*M20)*Assumptions_Formulas!$D$7</f>
        <v>13.083254910000001</v>
      </c>
    </row>
    <row r="21" spans="1:23" x14ac:dyDescent="0.3">
      <c r="A21" t="s">
        <v>112</v>
      </c>
      <c r="B21" t="s">
        <v>113</v>
      </c>
      <c r="C21">
        <v>31.325543</v>
      </c>
      <c r="D21">
        <v>74.262315599999994</v>
      </c>
      <c r="E21" t="s">
        <v>69</v>
      </c>
      <c r="F21" t="s">
        <v>70</v>
      </c>
      <c r="H21" t="s">
        <v>71</v>
      </c>
      <c r="I21" t="s">
        <v>72</v>
      </c>
      <c r="J21">
        <v>135</v>
      </c>
      <c r="K21" t="s">
        <v>120</v>
      </c>
      <c r="L21" s="5">
        <v>0.46300000000000002</v>
      </c>
      <c r="M21" s="3">
        <f>IF(F21="Furnace Oil",J21*L21*Assumptions_Formulas!$D$2*Assumptions_Formulas!$D$4,(J21*L21*Assumptions_Formulas!$D$2)/(0.35*0.038))</f>
        <v>138528581.40000001</v>
      </c>
      <c r="N21" s="3">
        <f>IF(F21="Furnace Oil", Sheet1!$E$5,Sheet1!$E$10)</f>
        <v>3.6911159999999997E-6</v>
      </c>
      <c r="O21" s="3">
        <f>(M21*N21)*Assumptions_Formulas!$D$7</f>
        <v>25.566253163142122</v>
      </c>
      <c r="P21" s="4">
        <f>IF(F21="Furnace Oil", Sheet1!$E$2, Sheet1!$E$7)</f>
        <v>2.4041159999999996E-6</v>
      </c>
      <c r="Q21" s="3">
        <f>(M21*P21)*Assumptions_Formulas!$D$7</f>
        <v>16.65193895005212</v>
      </c>
      <c r="R21" s="3">
        <f>IF(F21 = "Furnace Oil", Sheet1!$E$3, Sheet1!$E$8)</f>
        <v>6.5939999999999995E-5</v>
      </c>
      <c r="S21" s="3">
        <f>(R21*M21)*Assumptions_Formulas!$D$7</f>
        <v>456.72873287580001</v>
      </c>
      <c r="T21">
        <f>IF(F21="Furnace Oil",Sheet1!$E$4,Sheet1!$E$9)</f>
        <v>6.5999999999999995E-6</v>
      </c>
      <c r="U21">
        <f>(T21*M21)*Assumptions_Formulas!$D$16</f>
        <v>91.428863723999996</v>
      </c>
      <c r="V21">
        <f>IF(F21="Furnace Oil", Sheet1!$E$6, Sheet1!$E$11)</f>
        <v>5.9999999999999997E-7</v>
      </c>
      <c r="W21">
        <f>(V21*M21)*Assumptions_Formulas!$D$7</f>
        <v>4.1558574420000003</v>
      </c>
    </row>
    <row r="22" spans="1:23" x14ac:dyDescent="0.3">
      <c r="A22" t="s">
        <v>114</v>
      </c>
      <c r="B22" t="s">
        <v>115</v>
      </c>
      <c r="C22">
        <v>31.291530999999999</v>
      </c>
      <c r="D22">
        <v>74.249531899999994</v>
      </c>
      <c r="E22" t="s">
        <v>69</v>
      </c>
      <c r="F22" t="s">
        <v>70</v>
      </c>
      <c r="H22" t="s">
        <v>71</v>
      </c>
      <c r="I22" t="s">
        <v>72</v>
      </c>
      <c r="J22">
        <v>136</v>
      </c>
      <c r="K22" t="s">
        <v>120</v>
      </c>
      <c r="L22" s="5">
        <v>0.46300000000000002</v>
      </c>
      <c r="M22" s="3">
        <f>IF(F22="Furnace Oil",J22*L22*Assumptions_Formulas!$D$2*Assumptions_Formulas!$D$4,(J22*L22*Assumptions_Formulas!$D$2)/(0.35*0.038))</f>
        <v>139554719.04000002</v>
      </c>
      <c r="N22" s="3">
        <f>IF(F22="Furnace Oil", Sheet1!$E$5,Sheet1!$E$10)</f>
        <v>3.6911159999999997E-6</v>
      </c>
      <c r="O22" s="3">
        <f>(M22*N22)*Assumptions_Formulas!$D$7</f>
        <v>25.755632816202436</v>
      </c>
      <c r="P22" s="4">
        <f>IF(F22="Furnace Oil", Sheet1!$E$2, Sheet1!$E$7)</f>
        <v>2.4041159999999996E-6</v>
      </c>
      <c r="Q22" s="3">
        <f>(M22*P22)*Assumptions_Formulas!$D$7</f>
        <v>16.775286645978433</v>
      </c>
      <c r="R22" s="3">
        <f>IF(F22 = "Furnace Oil", Sheet1!$E$3, Sheet1!$E$8)</f>
        <v>6.5939999999999995E-5</v>
      </c>
      <c r="S22" s="3">
        <f>(R22*M22)*Assumptions_Formulas!$D$7</f>
        <v>460.11190867488006</v>
      </c>
      <c r="T22">
        <f>IF(F22="Furnace Oil",Sheet1!$E$4,Sheet1!$E$9)</f>
        <v>6.5999999999999995E-6</v>
      </c>
      <c r="U22">
        <f>(T22*M22)*Assumptions_Formulas!$D$16</f>
        <v>92.106114566400009</v>
      </c>
      <c r="V22">
        <f>IF(F22="Furnace Oil", Sheet1!$E$6, Sheet1!$E$11)</f>
        <v>5.9999999999999997E-7</v>
      </c>
      <c r="W22">
        <f>(V22*M22)*Assumptions_Formulas!$D$7</f>
        <v>4.1866415712000009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Assumptions_Formulas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Zakir Khizer</cp:lastModifiedBy>
  <dcterms:created xsi:type="dcterms:W3CDTF">2025-11-12T14:29:40Z</dcterms:created>
  <dcterms:modified xsi:type="dcterms:W3CDTF">2025-11-25T00:52:51Z</dcterms:modified>
</cp:coreProperties>
</file>