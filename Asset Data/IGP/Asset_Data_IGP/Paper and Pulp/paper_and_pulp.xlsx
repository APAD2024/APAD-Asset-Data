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Paper and Pulp\"/>
    </mc:Choice>
  </mc:AlternateContent>
  <xr:revisionPtr revIDLastSave="0" documentId="13_ncr:9_{2E58A5AC-7ED0-4E21-B52B-80531DF9D48D}" xr6:coauthVersionLast="47" xr6:coauthVersionMax="47" xr10:uidLastSave="{00000000-0000-0000-0000-000000000000}"/>
  <bookViews>
    <workbookView xWindow="-108" yWindow="-108" windowWidth="23256" windowHeight="12456" xr2:uid="{2B5BA69F-CD5E-45E6-8BC8-C015AFF281F8}"/>
  </bookViews>
  <sheets>
    <sheet name="paper_pulp_main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2" i="1"/>
  <c r="K3" i="1"/>
  <c r="K4" i="1"/>
  <c r="K5" i="1"/>
  <c r="K6" i="1"/>
  <c r="K7" i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K20" i="1"/>
  <c r="K21" i="1"/>
  <c r="K22" i="1"/>
  <c r="K23" i="1"/>
  <c r="K24" i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K36" i="1"/>
  <c r="K37" i="1"/>
  <c r="K38" i="1"/>
  <c r="K39" i="1"/>
  <c r="K40" i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K52" i="1"/>
  <c r="K53" i="1"/>
  <c r="K54" i="1"/>
  <c r="K55" i="1"/>
  <c r="K56" i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K68" i="1"/>
  <c r="K69" i="1"/>
  <c r="K70" i="1"/>
  <c r="K71" i="1"/>
  <c r="K72" i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K84" i="1"/>
  <c r="K85" i="1"/>
  <c r="K86" i="1"/>
  <c r="K87" i="1"/>
  <c r="K88" i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K100" i="1"/>
  <c r="K101" i="1"/>
  <c r="K102" i="1"/>
  <c r="K103" i="1"/>
  <c r="K104" i="1"/>
  <c r="K105" i="1"/>
  <c r="L105" i="1" s="1"/>
  <c r="K2" i="1"/>
  <c r="L2" i="1" s="1"/>
  <c r="L3" i="1"/>
  <c r="L4" i="1"/>
  <c r="L5" i="1"/>
  <c r="L6" i="1"/>
  <c r="L7" i="1"/>
  <c r="L8" i="1"/>
  <c r="L19" i="1"/>
  <c r="L20" i="1"/>
  <c r="L21" i="1"/>
  <c r="L22" i="1"/>
  <c r="L23" i="1"/>
  <c r="L24" i="1"/>
  <c r="L35" i="1"/>
  <c r="L36" i="1"/>
  <c r="L37" i="1"/>
  <c r="L38" i="1"/>
  <c r="L39" i="1"/>
  <c r="L40" i="1"/>
  <c r="L51" i="1"/>
  <c r="L52" i="1"/>
  <c r="L53" i="1"/>
  <c r="L54" i="1"/>
  <c r="L55" i="1"/>
  <c r="L56" i="1"/>
  <c r="L67" i="1"/>
  <c r="L68" i="1"/>
  <c r="L69" i="1"/>
  <c r="L70" i="1"/>
  <c r="L71" i="1"/>
  <c r="L72" i="1"/>
  <c r="L83" i="1"/>
  <c r="L84" i="1"/>
  <c r="L85" i="1"/>
  <c r="L86" i="1"/>
  <c r="L87" i="1"/>
  <c r="L88" i="1"/>
  <c r="L99" i="1"/>
  <c r="L100" i="1"/>
  <c r="L101" i="1"/>
  <c r="L102" i="1"/>
  <c r="L103" i="1"/>
  <c r="L104" i="1"/>
  <c r="C9" i="2"/>
  <c r="C6" i="2" s="1"/>
  <c r="E6" i="2" s="1"/>
  <c r="E8" i="2"/>
  <c r="E7" i="2"/>
  <c r="E5" i="2"/>
  <c r="E4" i="2"/>
  <c r="E3" i="2"/>
  <c r="E2" i="2"/>
  <c r="E9" i="2" l="1"/>
</calcChain>
</file>

<file path=xl/sharedStrings.xml><?xml version="1.0" encoding="utf-8"?>
<sst xmlns="http://schemas.openxmlformats.org/spreadsheetml/2006/main" count="678" uniqueCount="307">
  <si>
    <t>id</t>
  </si>
  <si>
    <t>name</t>
  </si>
  <si>
    <t>lat</t>
  </si>
  <si>
    <t>lon</t>
  </si>
  <si>
    <t>type</t>
  </si>
  <si>
    <t xml:space="preserve"> fuel</t>
  </si>
  <si>
    <t>region</t>
  </si>
  <si>
    <t>country</t>
  </si>
  <si>
    <t>status</t>
  </si>
  <si>
    <t>emfpm10</t>
  </si>
  <si>
    <t>emfpm25</t>
  </si>
  <si>
    <t>emfso2</t>
  </si>
  <si>
    <t>emfnox</t>
  </si>
  <si>
    <t>PPB-1</t>
  </si>
  <si>
    <t>Amber Super Paper Ltd</t>
  </si>
  <si>
    <t>Paper</t>
  </si>
  <si>
    <t>Dhaka</t>
  </si>
  <si>
    <t>Bangladesh</t>
  </si>
  <si>
    <t>Operating</t>
  </si>
  <si>
    <t>PPB-2</t>
  </si>
  <si>
    <t>Asia Paper and Board Mills Ltd</t>
  </si>
  <si>
    <t>PPB-3</t>
  </si>
  <si>
    <t>Bangladesh Paper Mills Ltd</t>
  </si>
  <si>
    <t>PPB-4</t>
  </si>
  <si>
    <t>BCIC Bangladesh Chemical Industries Corp.</t>
  </si>
  <si>
    <t>PPB-5</t>
  </si>
  <si>
    <t>BPML Bashundhara Paper Mill Limited- Unit 1</t>
  </si>
  <si>
    <t>pulp and paper</t>
  </si>
  <si>
    <t>PPB-6</t>
  </si>
  <si>
    <t>BPML Bashundhara Paper Mill Limited- Unit 2</t>
  </si>
  <si>
    <t>PPB-7</t>
  </si>
  <si>
    <t>BPML Bashundhara Paper Mill Limited- Unit 3</t>
  </si>
  <si>
    <t>PPB-8</t>
  </si>
  <si>
    <t>Hashem Paper Mills Ltd, Zeysha Group</t>
  </si>
  <si>
    <t>PPB-9</t>
  </si>
  <si>
    <t>Hussain Pulp, Paper and Board Mills Ltd</t>
  </si>
  <si>
    <t>Paper and packaging</t>
  </si>
  <si>
    <t>PPB-10</t>
  </si>
  <si>
    <t>Khulna Newsprint Mills Ltd</t>
  </si>
  <si>
    <t>Khalispur</t>
  </si>
  <si>
    <t>PPB-11</t>
  </si>
  <si>
    <t>Lipy Paper Mills Ltd, Lipy Group</t>
  </si>
  <si>
    <t>PPB-12</t>
  </si>
  <si>
    <t>Magura Paper Mills Ltd, BDG-Magura Group</t>
  </si>
  <si>
    <t>PPB-13</t>
  </si>
  <si>
    <t>NBPM North Bengal Paper Mills Ltd</t>
  </si>
  <si>
    <t>Paksey</t>
  </si>
  <si>
    <t>PPB-14</t>
  </si>
  <si>
    <t>Pearl Paper &amp; Board Mills Ltd, Magura Group</t>
  </si>
  <si>
    <t>PPB-15</t>
  </si>
  <si>
    <t>Pioneer Paper &amp; Board Mills Ltd</t>
  </si>
  <si>
    <t>PPB-16</t>
  </si>
  <si>
    <t>Sadeque Paper &amp; Board Mills Ltd</t>
  </si>
  <si>
    <t>PPB-17</t>
  </si>
  <si>
    <t>Sonali Paper and Board Mills Ltd</t>
  </si>
  <si>
    <t>PPB-18</t>
  </si>
  <si>
    <t>Web Coats Ltd</t>
  </si>
  <si>
    <t>PPI-1</t>
  </si>
  <si>
    <t>Abhishek Industries Limited, Trident Group</t>
  </si>
  <si>
    <t>Ludhiana</t>
  </si>
  <si>
    <t>India</t>
  </si>
  <si>
    <t>PPI-2</t>
  </si>
  <si>
    <t>Agarwal Pulp and Paper Mills Ltd</t>
  </si>
  <si>
    <t>Muzaffar Nagar</t>
  </si>
  <si>
    <t>PPI-3</t>
  </si>
  <si>
    <t>BAHL Paper Mills Ltd</t>
  </si>
  <si>
    <t>Pulp and Paper</t>
  </si>
  <si>
    <t>DELHI</t>
  </si>
  <si>
    <t>PPI-4</t>
  </si>
  <si>
    <t>BAHL Paper Mills Ltd, Kashipur Plant</t>
  </si>
  <si>
    <t>Kashipur</t>
  </si>
  <si>
    <t>PPI-5</t>
  </si>
  <si>
    <t>Bharat Strawboard &amp; Paper Mills (Private) Ltd</t>
  </si>
  <si>
    <t>Allahabad</t>
  </si>
  <si>
    <t>PPI-6</t>
  </si>
  <si>
    <t>BILT Ballarpur Industries Ltd, Unit Shreegopal</t>
  </si>
  <si>
    <t>Pulp and paper</t>
  </si>
  <si>
    <t>Yamunanagar</t>
  </si>
  <si>
    <t>PPI-7</t>
  </si>
  <si>
    <t>BILT Ballarpur Industries Ltd</t>
  </si>
  <si>
    <t>Gurgaon</t>
  </si>
  <si>
    <t>PPI-8</t>
  </si>
  <si>
    <t>Bindal Papers Limited, Muzaffarnagar Works</t>
  </si>
  <si>
    <t>PPI-9</t>
  </si>
  <si>
    <t>Chandpur Enterprises Ltd</t>
  </si>
  <si>
    <t>Bijnor</t>
  </si>
  <si>
    <t>PPI-10</t>
  </si>
  <si>
    <t>Cheema Papers Limited</t>
  </si>
  <si>
    <t>Naini Tal</t>
  </si>
  <si>
    <t>PPI-11</t>
  </si>
  <si>
    <t>Chemopulp Tissues Limited</t>
  </si>
  <si>
    <t>Ghaziabad</t>
  </si>
  <si>
    <t>PPI-12</t>
  </si>
  <si>
    <t>CPP Century Pulp &amp; Paper</t>
  </si>
  <si>
    <t>Delhi</t>
  </si>
  <si>
    <t>PPI-13</t>
  </si>
  <si>
    <t>East India Paper &amp; Board Mills</t>
  </si>
  <si>
    <t>Kolkata</t>
  </si>
  <si>
    <t>PPI-14</t>
  </si>
  <si>
    <t>Gateway Speciality Papers Limited</t>
  </si>
  <si>
    <t>PPI-15</t>
  </si>
  <si>
    <t>Gateway Speciality Papers Limited, Kundli Mill</t>
  </si>
  <si>
    <t>Kundli</t>
  </si>
  <si>
    <t>PPI-16</t>
  </si>
  <si>
    <t>Incite Homecare Products (P) Limited, Regional Office Noida</t>
  </si>
  <si>
    <t>Noida</t>
  </si>
  <si>
    <t>PPI-17</t>
  </si>
  <si>
    <t>ITC Limited, Registered Office</t>
  </si>
  <si>
    <t>PPI-18</t>
  </si>
  <si>
    <t>Krishna Tissues Private Limited, Corporate Office</t>
  </si>
  <si>
    <t>PPI-19</t>
  </si>
  <si>
    <t>Kuantum Papers Ltd, Corporate Office</t>
  </si>
  <si>
    <t>Chandigarh</t>
  </si>
  <si>
    <t>PPI-20</t>
  </si>
  <si>
    <t>Hanuman Chromocoates Limited</t>
  </si>
  <si>
    <t>PPI-21</t>
  </si>
  <si>
    <t>ITC Limited, PSPC Manufacturing Tribeni Unit</t>
  </si>
  <si>
    <t>Packaging</t>
  </si>
  <si>
    <t>PPI-22</t>
  </si>
  <si>
    <t>Khanna Paper Mills</t>
  </si>
  <si>
    <t>Ambala Cantt</t>
  </si>
  <si>
    <t>PPI-23</t>
  </si>
  <si>
    <t>Krishna Tissues Private Limited, Burdwan Mill</t>
  </si>
  <si>
    <t>Burdwan</t>
  </si>
  <si>
    <t>PPI-24</t>
  </si>
  <si>
    <t>Krishna Tissues Private Limited, Howrah Mill</t>
  </si>
  <si>
    <t>Howrah</t>
  </si>
  <si>
    <t>PPI-25</t>
  </si>
  <si>
    <t>Mukerian Papers Ltd</t>
  </si>
  <si>
    <t>PPI-26</t>
  </si>
  <si>
    <t>Mukerian Papers Ltd, Mukerian Mill</t>
  </si>
  <si>
    <t>Mukerian</t>
  </si>
  <si>
    <t>PPI-27</t>
  </si>
  <si>
    <t>Nikita Papers Limited</t>
  </si>
  <si>
    <t>Shamli</t>
  </si>
  <si>
    <t>PPI-28</t>
  </si>
  <si>
    <t>Orient Paper &amp; Industries Ltd</t>
  </si>
  <si>
    <t>PPI-29</t>
  </si>
  <si>
    <t>Pamwi Tissues (Lessee Swil Ltd)</t>
  </si>
  <si>
    <t>PPI-30</t>
  </si>
  <si>
    <t>Rishab Paper Mills Ltd</t>
  </si>
  <si>
    <t>PPI-31</t>
  </si>
  <si>
    <t>Rishab Paper Mills Ltd, Banah Mill</t>
  </si>
  <si>
    <t>Banah</t>
  </si>
  <si>
    <t>PPI-32</t>
  </si>
  <si>
    <t>Rohtas Industries Ltd</t>
  </si>
  <si>
    <t>PPI-33</t>
  </si>
  <si>
    <t>RP Paper Impex Pvt. Ltd</t>
  </si>
  <si>
    <t>Sahibzada Ajit Singh Nagar</t>
  </si>
  <si>
    <t>PPI-34</t>
  </si>
  <si>
    <t>RPML Rama Paper Mills Limited</t>
  </si>
  <si>
    <t>Kiratpur</t>
  </si>
  <si>
    <t>PPI-35</t>
  </si>
  <si>
    <t>Sakar International Pvt Ltd</t>
  </si>
  <si>
    <t>PPI-36</t>
  </si>
  <si>
    <t>Sakar International Pvt Ltd, New Delhi Factory</t>
  </si>
  <si>
    <t>PPI-37</t>
  </si>
  <si>
    <t>Sangal Paper Ltd</t>
  </si>
  <si>
    <t>Mawana</t>
  </si>
  <si>
    <t>PPI-38</t>
  </si>
  <si>
    <t>Shamli Paper Mills Ltd</t>
  </si>
  <si>
    <t>PPI-39</t>
  </si>
  <si>
    <t>Shivalik Cellulose of Hindustan Lever</t>
  </si>
  <si>
    <t>Gajraula</t>
  </si>
  <si>
    <t>PPI-40</t>
  </si>
  <si>
    <t>Shree Acids &amp; Chemicals Ltd</t>
  </si>
  <si>
    <t>PPI-41</t>
  </si>
  <si>
    <t>Shree Acids &amp; Chemicals Ltd, Gajraula Mill</t>
  </si>
  <si>
    <t>PPI-42</t>
  </si>
  <si>
    <t>Shree Bhawani Paper Mills Ltd</t>
  </si>
  <si>
    <t>PPI-43</t>
  </si>
  <si>
    <t>Shree Bhawani Paper Mills Ltd, Rae Bareli Mill</t>
  </si>
  <si>
    <t>Rae Bareli</t>
  </si>
  <si>
    <t>PPI-44</t>
  </si>
  <si>
    <t>Shree Jagdambe Paper Mills Ltd</t>
  </si>
  <si>
    <t>Sirsa</t>
  </si>
  <si>
    <t>PPI-45</t>
  </si>
  <si>
    <t>Shree Krishna Paper Mills &amp; Ind. Ltd</t>
  </si>
  <si>
    <t>PPI-46</t>
  </si>
  <si>
    <t>Shree Krishna Paper Mills &amp; Ind. Ltd, Bansal Paper Mills</t>
  </si>
  <si>
    <t>Bahadurgarh</t>
  </si>
  <si>
    <t>PPI-47</t>
  </si>
  <si>
    <t>Shreyans Industries Limited</t>
  </si>
  <si>
    <t>PPI-48</t>
  </si>
  <si>
    <t>Shreyans Industries Limited, Shree Rishabh Papers</t>
  </si>
  <si>
    <t>PPI-49</t>
  </si>
  <si>
    <t>Shreyans Industries Limited, Shreyans Papers</t>
  </si>
  <si>
    <t>Ahmedgarh</t>
  </si>
  <si>
    <t>PPI-50</t>
  </si>
  <si>
    <t>Sikka Papers Ltd</t>
  </si>
  <si>
    <t>PPI-51</t>
  </si>
  <si>
    <t>Silverton Papers Ltd</t>
  </si>
  <si>
    <t>Muzaffarnagar</t>
  </si>
  <si>
    <t>PPI-52</t>
  </si>
  <si>
    <t>SPMCIL Security Printing of India Limited</t>
  </si>
  <si>
    <t>PPI-53</t>
  </si>
  <si>
    <t>Star Paper Mills Ltd</t>
  </si>
  <si>
    <t>PPI-54</t>
  </si>
  <si>
    <t>Star Paper Mills Ltd, Saharanpur Mill</t>
  </si>
  <si>
    <t>Saharanpur</t>
  </si>
  <si>
    <t>PPI-55</t>
  </si>
  <si>
    <t>Straw Board Manufacturing Co Ltd</t>
  </si>
  <si>
    <t>PPI-56</t>
  </si>
  <si>
    <t>Supreme Paper Mills Ltd</t>
  </si>
  <si>
    <t>PPI-57</t>
  </si>
  <si>
    <t>Supreme Paper Mills Ltd, Chakdaha Mill</t>
  </si>
  <si>
    <t>Chak Daha</t>
  </si>
  <si>
    <t>PPI-58</t>
  </si>
  <si>
    <t>Three Star Paper Mills Ltd</t>
  </si>
  <si>
    <t>Tehsil Dadri</t>
  </si>
  <si>
    <t>PPI-59</t>
  </si>
  <si>
    <t>Tirupati Balaji Fibres Limited</t>
  </si>
  <si>
    <t>PPI-60</t>
  </si>
  <si>
    <t>Upper India Couper Paper Mills Co Ltd</t>
  </si>
  <si>
    <t>Lucknow</t>
  </si>
  <si>
    <t>PPP-1</t>
  </si>
  <si>
    <t>Alkaram Paper Mills Pvt. Ltd</t>
  </si>
  <si>
    <t>Lahore</t>
  </si>
  <si>
    <t>Pakistan</t>
  </si>
  <si>
    <t>PPP-2</t>
  </si>
  <si>
    <t>Allied Paper</t>
  </si>
  <si>
    <t>Thatta</t>
  </si>
  <si>
    <t>PPP-3</t>
  </si>
  <si>
    <t>Al-Quresh Board Mills Ltd</t>
  </si>
  <si>
    <t>PPP-4</t>
  </si>
  <si>
    <t>Atas Paper (Pvt) Ltd, A company of Sayid Paper Group</t>
  </si>
  <si>
    <t>Sheikhupura</t>
  </si>
  <si>
    <t>PPP-5</t>
  </si>
  <si>
    <t>Bin Qasim Packages Ltd, Karachi Corrugating Unit</t>
  </si>
  <si>
    <t>Karachi</t>
  </si>
  <si>
    <t>PPP-6</t>
  </si>
  <si>
    <t>Bulleh Shah Packaging Pvt. Limited</t>
  </si>
  <si>
    <t>Kasur</t>
  </si>
  <si>
    <t>PPP-7</t>
  </si>
  <si>
    <t>Century Paper &amp; Board Mills Limited, Board and Paper Mill</t>
  </si>
  <si>
    <t>Bhai Pheru</t>
  </si>
  <si>
    <t>PPP-8</t>
  </si>
  <si>
    <t>Century Paper &amp; Board Mills Limited</t>
  </si>
  <si>
    <t>PPP-9</t>
  </si>
  <si>
    <t>Empire paper and board Mill</t>
  </si>
  <si>
    <t>PPP-10</t>
  </si>
  <si>
    <t>Faruki Pulp Mills Ltd, Sargodha Mill</t>
  </si>
  <si>
    <t>Pulp</t>
  </si>
  <si>
    <t>Sargodha</t>
  </si>
  <si>
    <t>PPP-11</t>
  </si>
  <si>
    <t>Fazal Paper Mill</t>
  </si>
  <si>
    <t>Okara</t>
  </si>
  <si>
    <t>PPP-12</t>
  </si>
  <si>
    <t>Firdaus Board Mills (Pvt) Ltd</t>
  </si>
  <si>
    <t>Gujranwala</t>
  </si>
  <si>
    <t>PPP-13</t>
  </si>
  <si>
    <t>Flying Kraft Paper Mills Ltd, A company of Flying Group of Companies</t>
  </si>
  <si>
    <t>Charsadda</t>
  </si>
  <si>
    <t>PPP-14</t>
  </si>
  <si>
    <t>Flying Paper Industries Ltd, A company of Flying Group of Companies</t>
  </si>
  <si>
    <t xml:space="preserve"> </t>
  </si>
  <si>
    <t>PPP-15</t>
  </si>
  <si>
    <t>Jubilee Paper Board Mills Limited</t>
  </si>
  <si>
    <t>Pulp and paper and packaging</t>
  </si>
  <si>
    <t>Kamoke</t>
  </si>
  <si>
    <t>PPP-16</t>
  </si>
  <si>
    <t>Karachi Paper and Board Mills</t>
  </si>
  <si>
    <t>PPP-17</t>
  </si>
  <si>
    <t>Lucky Paper Mill</t>
  </si>
  <si>
    <t>Jamshoro</t>
  </si>
  <si>
    <t>PPP-18</t>
  </si>
  <si>
    <t>Malik Board and Paper Industries (Pvt) Ltd</t>
  </si>
  <si>
    <t>PPP-19</t>
  </si>
  <si>
    <t>Mandiali Paper Mills (Pvt) Ltd</t>
  </si>
  <si>
    <t>PPP-20</t>
  </si>
  <si>
    <t>Orient Straw Board &amp; Paper Mills Ltd</t>
  </si>
  <si>
    <t>PPP-21</t>
  </si>
  <si>
    <t>Packages Ltd</t>
  </si>
  <si>
    <t>PPP-22</t>
  </si>
  <si>
    <t>Pakistan Paper Products</t>
  </si>
  <si>
    <t>PPP-23</t>
  </si>
  <si>
    <t>Paper International Ltd</t>
  </si>
  <si>
    <t>Nowshera</t>
  </si>
  <si>
    <t>PPP-24</t>
  </si>
  <si>
    <t>Pioneer Board</t>
  </si>
  <si>
    <t>PPP-25</t>
  </si>
  <si>
    <t>Sultan Paper Board Mills (Pvt) Ltd</t>
  </si>
  <si>
    <t>PPP-26</t>
  </si>
  <si>
    <t>Zaman Paper &amp; Board Mills Private Limited, A company of Flying Group of Companies</t>
  </si>
  <si>
    <t>Pollutant</t>
  </si>
  <si>
    <t>EF</t>
  </si>
  <si>
    <t>Unit</t>
  </si>
  <si>
    <t>EF normalised (tonnes of pollutant/tonnes of production)</t>
  </si>
  <si>
    <t>Notes</t>
  </si>
  <si>
    <t>PM2.5</t>
  </si>
  <si>
    <t>paper and pulp</t>
  </si>
  <si>
    <t xml:space="preserve"> tonne/000 tonnes</t>
  </si>
  <si>
    <t>Following common empirical relationships  PM₁₀ was estimated as 0.6 × PM and PM₂.₅ as 0.65 × PM₁₀.</t>
  </si>
  <si>
    <t>SO2</t>
  </si>
  <si>
    <t>NOx</t>
  </si>
  <si>
    <t>PM10*</t>
  </si>
  <si>
    <t>paper</t>
  </si>
  <si>
    <t>Source</t>
  </si>
  <si>
    <t>https://www.eea.europa.eu/en/analysis/publications/emep-eea-guidebook-2023/part-b-sectoral-guidance-chapters/2-industrial-processes-and-product-use/2-h-other-industry-production/2-h-1-pulp-and/@@download/file</t>
  </si>
  <si>
    <t>This paper is used to extract Efs for paper and pulp type of plants</t>
  </si>
  <si>
    <r>
      <t>Bordado, J. C., &amp; Gomes, J. F. (1997). Pollutant atmospheric emissions from Portuguese Kraft pulp mills. </t>
    </r>
    <r>
      <rPr>
        <i/>
        <sz val="11"/>
        <rFont val="Calibri"/>
        <family val="2"/>
      </rPr>
      <t>Science of the total environment</t>
    </r>
    <r>
      <rPr>
        <sz val="11"/>
        <rFont val="Calibri"/>
        <family val="2"/>
      </rPr>
      <t>, </t>
    </r>
    <r>
      <rPr>
        <i/>
        <sz val="11"/>
        <rFont val="Calibri"/>
        <family val="2"/>
      </rPr>
      <t>208</t>
    </r>
    <r>
      <rPr>
        <sz val="11"/>
        <rFont val="Calibri"/>
        <family val="2"/>
      </rPr>
      <t>(1-2), 139-143.</t>
    </r>
  </si>
  <si>
    <t>Whereas, this paper helps find the EFs only for paper production. In this paper they only mention PM = 0.315, therefore we use some factoring to estimate PM2.5 and PM10</t>
  </si>
  <si>
    <t>capacity_tonnes</t>
  </si>
  <si>
    <t xml:space="preserve"> pm10_t_yr</t>
  </si>
  <si>
    <t> pm25_t_yr</t>
  </si>
  <si>
    <t> so2_t_yr</t>
  </si>
  <si>
    <t> nox_t_yr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</si>
</sst>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8" fillId="0" borderId="0" xfId="42" applyAlignment="1">
      <alignment vertical="top" wrapText="1"/>
    </xf>
    <xf numFmtId="0" fontId="20" fillId="0" borderId="0" xfId="0" applyFont="1"/>
    <xf numFmtId="0" fontId="21" fillId="0" borderId="0" xfId="42" applyFont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ea.europa.eu/en/analysis/publications/emep-eea-guidebook-2023/part-b-sectoral-guidance-chapters/2-industrial-processes-and-product-use/2-h-other-industry-production/2-h-1-pulp-and/@@download/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C278-CF90-42A7-AFD0-7385CA238D64}">
  <dimension ref="A1:R105"/>
  <sheetViews>
    <sheetView tabSelected="1" workbookViewId="0">
      <selection activeCell="R2" sqref="R2:R105"/>
    </sheetView>
  </sheetViews>
  <sheetFormatPr defaultRowHeight="14.4" x14ac:dyDescent="0.3"/>
  <cols>
    <col min="2" max="2" width="19.44140625" customWidth="1"/>
    <col min="5" max="5" width="18.77734375" customWidth="1"/>
    <col min="10" max="10" width="14.109375" bestFit="1" customWidth="1"/>
  </cols>
  <sheetData>
    <row r="1" spans="1:18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302</v>
      </c>
      <c r="K1" t="s">
        <v>9</v>
      </c>
      <c r="L1" t="s">
        <v>303</v>
      </c>
      <c r="M1" t="s">
        <v>10</v>
      </c>
      <c r="N1" t="s">
        <v>304</v>
      </c>
      <c r="O1" t="s">
        <v>11</v>
      </c>
      <c r="P1" t="s">
        <v>305</v>
      </c>
      <c r="Q1" t="s">
        <v>12</v>
      </c>
      <c r="R1" t="s">
        <v>306</v>
      </c>
    </row>
    <row r="2" spans="1:18" x14ac:dyDescent="0.3">
      <c r="A2" t="s">
        <v>13</v>
      </c>
      <c r="B2" t="s">
        <v>14</v>
      </c>
      <c r="C2" s="2">
        <v>23.807881040000002</v>
      </c>
      <c r="D2" s="2">
        <v>90.545481870000003</v>
      </c>
      <c r="E2" s="2" t="s">
        <v>15</v>
      </c>
      <c r="F2" s="2"/>
      <c r="G2" s="2" t="s">
        <v>16</v>
      </c>
      <c r="H2" s="2" t="s">
        <v>17</v>
      </c>
      <c r="I2" s="2" t="s">
        <v>18</v>
      </c>
      <c r="J2" s="1">
        <v>16093.74</v>
      </c>
      <c r="K2">
        <f>IF(E2="Paper",Sheet1!$E$9,Sheet1!$E$5)</f>
        <v>1.8900000000000001E-4</v>
      </c>
      <c r="L2">
        <f>J2*K2</f>
        <v>3.0417168600000002</v>
      </c>
      <c r="M2">
        <f>IF(E2="Paper",Sheet1!$E$6,Sheet1!$E$2)</f>
        <v>1.2285E-4</v>
      </c>
      <c r="N2">
        <f>M2*J2</f>
        <v>1.977115959</v>
      </c>
      <c r="O2">
        <f>IF(E2="Paper",Sheet1!$E$7,Sheet1!$E$3)</f>
        <v>4.2999999999999999E-4</v>
      </c>
      <c r="P2">
        <f>O2*J2</f>
        <v>6.9203082</v>
      </c>
      <c r="Q2">
        <f>IF(E2="Paper",Sheet1!$E$8,Sheet1!$E$4)</f>
        <v>5.2999999999999998E-4</v>
      </c>
      <c r="R2">
        <f>Q2*J2</f>
        <v>8.5296821999999999</v>
      </c>
    </row>
    <row r="3" spans="1:18" x14ac:dyDescent="0.3">
      <c r="A3" t="s">
        <v>19</v>
      </c>
      <c r="B3" t="s">
        <v>20</v>
      </c>
      <c r="C3" s="2">
        <v>23.579033679999998</v>
      </c>
      <c r="D3" s="2">
        <v>90.512130920000004</v>
      </c>
      <c r="E3" s="2" t="s">
        <v>15</v>
      </c>
      <c r="F3" s="2"/>
      <c r="G3" s="2" t="s">
        <v>16</v>
      </c>
      <c r="H3" s="2" t="s">
        <v>17</v>
      </c>
      <c r="I3" s="2" t="s">
        <v>18</v>
      </c>
      <c r="J3" s="1">
        <v>16093.74</v>
      </c>
      <c r="K3">
        <f>IF(E3="Paper",Sheet1!$E$9,Sheet1!$E$5)</f>
        <v>1.8900000000000001E-4</v>
      </c>
      <c r="L3">
        <f t="shared" ref="L3:L66" si="0">J3*K3</f>
        <v>3.0417168600000002</v>
      </c>
      <c r="M3">
        <f>IF(E3="Paper",Sheet1!$E$6,Sheet1!$E$2)</f>
        <v>1.2285E-4</v>
      </c>
      <c r="N3">
        <f t="shared" ref="N3:N66" si="1">M3*J3</f>
        <v>1.977115959</v>
      </c>
      <c r="O3">
        <f>IF(E3="Paper",Sheet1!$E$7,Sheet1!$E$3)</f>
        <v>4.2999999999999999E-4</v>
      </c>
      <c r="P3">
        <f t="shared" ref="P3:P66" si="2">O3*J3</f>
        <v>6.9203082</v>
      </c>
      <c r="Q3">
        <f>IF(E3="Paper",Sheet1!$E$8,Sheet1!$E$4)</f>
        <v>5.2999999999999998E-4</v>
      </c>
      <c r="R3">
        <f t="shared" ref="R3:R66" si="3">Q3*J3</f>
        <v>8.5296821999999999</v>
      </c>
    </row>
    <row r="4" spans="1:18" x14ac:dyDescent="0.3">
      <c r="A4" t="s">
        <v>21</v>
      </c>
      <c r="B4" t="s">
        <v>22</v>
      </c>
      <c r="C4" s="2">
        <v>23.703630350000001</v>
      </c>
      <c r="D4" s="2">
        <v>90.513731669999999</v>
      </c>
      <c r="E4" s="2" t="s">
        <v>15</v>
      </c>
      <c r="F4" s="2"/>
      <c r="G4" s="2" t="s">
        <v>16</v>
      </c>
      <c r="H4" s="2" t="s">
        <v>17</v>
      </c>
      <c r="I4" s="2" t="s">
        <v>18</v>
      </c>
      <c r="J4" s="1">
        <v>16093.74</v>
      </c>
      <c r="K4">
        <f>IF(E4="Paper",Sheet1!$E$9,Sheet1!$E$5)</f>
        <v>1.8900000000000001E-4</v>
      </c>
      <c r="L4">
        <f t="shared" si="0"/>
        <v>3.0417168600000002</v>
      </c>
      <c r="M4">
        <f>IF(E4="Paper",Sheet1!$E$6,Sheet1!$E$2)</f>
        <v>1.2285E-4</v>
      </c>
      <c r="N4">
        <f t="shared" si="1"/>
        <v>1.977115959</v>
      </c>
      <c r="O4">
        <f>IF(E4="Paper",Sheet1!$E$7,Sheet1!$E$3)</f>
        <v>4.2999999999999999E-4</v>
      </c>
      <c r="P4">
        <f t="shared" si="2"/>
        <v>6.9203082</v>
      </c>
      <c r="Q4">
        <f>IF(E4="Paper",Sheet1!$E$8,Sheet1!$E$4)</f>
        <v>5.2999999999999998E-4</v>
      </c>
      <c r="R4">
        <f t="shared" si="3"/>
        <v>8.5296821999999999</v>
      </c>
    </row>
    <row r="5" spans="1:18" x14ac:dyDescent="0.3">
      <c r="A5" t="s">
        <v>23</v>
      </c>
      <c r="B5" t="s">
        <v>24</v>
      </c>
      <c r="C5" s="2">
        <v>23.726750599999999</v>
      </c>
      <c r="D5" s="2">
        <v>90.419176300000004</v>
      </c>
      <c r="E5" s="2" t="s">
        <v>15</v>
      </c>
      <c r="F5" s="2"/>
      <c r="G5" s="2" t="s">
        <v>16</v>
      </c>
      <c r="H5" s="2" t="s">
        <v>17</v>
      </c>
      <c r="I5" s="2" t="s">
        <v>18</v>
      </c>
      <c r="J5" s="1">
        <v>33069.33</v>
      </c>
      <c r="K5">
        <f>IF(E5="Paper",Sheet1!$E$9,Sheet1!$E$5)</f>
        <v>1.8900000000000001E-4</v>
      </c>
      <c r="L5">
        <f t="shared" si="0"/>
        <v>6.2501033700000006</v>
      </c>
      <c r="M5">
        <f>IF(E5="Paper",Sheet1!$E$6,Sheet1!$E$2)</f>
        <v>1.2285E-4</v>
      </c>
      <c r="N5">
        <f t="shared" si="1"/>
        <v>4.0625671905000003</v>
      </c>
      <c r="O5">
        <f>IF(E5="Paper",Sheet1!$E$7,Sheet1!$E$3)</f>
        <v>4.2999999999999999E-4</v>
      </c>
      <c r="P5">
        <f t="shared" si="2"/>
        <v>14.2198119</v>
      </c>
      <c r="Q5">
        <f>IF(E5="Paper",Sheet1!$E$8,Sheet1!$E$4)</f>
        <v>5.2999999999999998E-4</v>
      </c>
      <c r="R5">
        <f t="shared" si="3"/>
        <v>17.526744900000001</v>
      </c>
    </row>
    <row r="6" spans="1:18" x14ac:dyDescent="0.3">
      <c r="A6" t="s">
        <v>25</v>
      </c>
      <c r="B6" t="s">
        <v>26</v>
      </c>
      <c r="C6" s="2">
        <v>23.618453840000001</v>
      </c>
      <c r="D6" s="2">
        <v>90.610731860000001</v>
      </c>
      <c r="E6" s="2" t="s">
        <v>27</v>
      </c>
      <c r="F6" s="2"/>
      <c r="G6" s="2" t="s">
        <v>16</v>
      </c>
      <c r="H6" s="2" t="s">
        <v>17</v>
      </c>
      <c r="I6" s="2" t="s">
        <v>18</v>
      </c>
      <c r="J6" s="1">
        <v>193455.63</v>
      </c>
      <c r="K6">
        <f>IF(E6="Paper",Sheet1!$E$9,Sheet1!$E$5)</f>
        <v>1.2999999999999999E-3</v>
      </c>
      <c r="L6">
        <f t="shared" si="0"/>
        <v>251.49231899999998</v>
      </c>
      <c r="M6">
        <f>IF(E6="Paper",Sheet1!$E$6,Sheet1!$E$2)</f>
        <v>9.7499999999999996E-4</v>
      </c>
      <c r="N6">
        <f t="shared" si="1"/>
        <v>188.61923924999999</v>
      </c>
      <c r="O6">
        <f>IF(E6="Paper",Sheet1!$E$7,Sheet1!$E$3)</f>
        <v>5.0000000000000001E-3</v>
      </c>
      <c r="P6">
        <f t="shared" si="2"/>
        <v>967.2781500000001</v>
      </c>
      <c r="Q6">
        <f>IF(E6="Paper",Sheet1!$E$8,Sheet1!$E$4)</f>
        <v>2.5000000000000001E-3</v>
      </c>
      <c r="R6">
        <f t="shared" si="3"/>
        <v>483.63907500000005</v>
      </c>
    </row>
    <row r="7" spans="1:18" x14ac:dyDescent="0.3">
      <c r="A7" t="s">
        <v>28</v>
      </c>
      <c r="B7" t="s">
        <v>29</v>
      </c>
      <c r="C7" s="2">
        <v>23.61418535</v>
      </c>
      <c r="D7" s="2">
        <v>90.619360200000003</v>
      </c>
      <c r="E7" s="2" t="s">
        <v>27</v>
      </c>
      <c r="F7" s="2"/>
      <c r="G7" s="2" t="s">
        <v>16</v>
      </c>
      <c r="H7" s="2" t="s">
        <v>17</v>
      </c>
      <c r="I7" s="2" t="s">
        <v>18</v>
      </c>
      <c r="J7" s="1">
        <v>193455.63</v>
      </c>
      <c r="K7">
        <f>IF(E7="Paper",Sheet1!$E$9,Sheet1!$E$5)</f>
        <v>1.2999999999999999E-3</v>
      </c>
      <c r="L7">
        <f t="shared" si="0"/>
        <v>251.49231899999998</v>
      </c>
      <c r="M7">
        <f>IF(E7="Paper",Sheet1!$E$6,Sheet1!$E$2)</f>
        <v>9.7499999999999996E-4</v>
      </c>
      <c r="N7">
        <f t="shared" si="1"/>
        <v>188.61923924999999</v>
      </c>
      <c r="O7">
        <f>IF(E7="Paper",Sheet1!$E$7,Sheet1!$E$3)</f>
        <v>5.0000000000000001E-3</v>
      </c>
      <c r="P7">
        <f t="shared" si="2"/>
        <v>967.2781500000001</v>
      </c>
      <c r="Q7">
        <f>IF(E7="Paper",Sheet1!$E$8,Sheet1!$E$4)</f>
        <v>2.5000000000000001E-3</v>
      </c>
      <c r="R7">
        <f t="shared" si="3"/>
        <v>483.63907500000005</v>
      </c>
    </row>
    <row r="8" spans="1:18" x14ac:dyDescent="0.3">
      <c r="A8" t="s">
        <v>30</v>
      </c>
      <c r="B8" t="s">
        <v>31</v>
      </c>
      <c r="C8" s="2">
        <v>23.575842219999998</v>
      </c>
      <c r="D8" s="2">
        <v>90.644222990000003</v>
      </c>
      <c r="E8" s="2" t="s">
        <v>27</v>
      </c>
      <c r="F8" s="2"/>
      <c r="G8" s="2" t="s">
        <v>16</v>
      </c>
      <c r="H8" s="2" t="s">
        <v>17</v>
      </c>
      <c r="I8" s="2" t="s">
        <v>18</v>
      </c>
      <c r="J8" s="1">
        <v>193455.63</v>
      </c>
      <c r="K8">
        <f>IF(E8="Paper",Sheet1!$E$9,Sheet1!$E$5)</f>
        <v>1.2999999999999999E-3</v>
      </c>
      <c r="L8">
        <f t="shared" si="0"/>
        <v>251.49231899999998</v>
      </c>
      <c r="M8">
        <f>IF(E8="Paper",Sheet1!$E$6,Sheet1!$E$2)</f>
        <v>9.7499999999999996E-4</v>
      </c>
      <c r="N8">
        <f t="shared" si="1"/>
        <v>188.61923924999999</v>
      </c>
      <c r="O8">
        <f>IF(E8="Paper",Sheet1!$E$7,Sheet1!$E$3)</f>
        <v>5.0000000000000001E-3</v>
      </c>
      <c r="P8">
        <f t="shared" si="2"/>
        <v>967.2781500000001</v>
      </c>
      <c r="Q8">
        <f>IF(E8="Paper",Sheet1!$E$8,Sheet1!$E$4)</f>
        <v>2.5000000000000001E-3</v>
      </c>
      <c r="R8">
        <f t="shared" si="3"/>
        <v>483.63907500000005</v>
      </c>
    </row>
    <row r="9" spans="1:18" x14ac:dyDescent="0.3">
      <c r="A9" t="s">
        <v>32</v>
      </c>
      <c r="B9" t="s">
        <v>33</v>
      </c>
      <c r="C9" s="2">
        <v>23.803630829999999</v>
      </c>
      <c r="D9" s="2">
        <v>90.536588730000005</v>
      </c>
      <c r="E9" s="2" t="s">
        <v>15</v>
      </c>
      <c r="F9" s="2"/>
      <c r="G9" s="2" t="s">
        <v>16</v>
      </c>
      <c r="H9" s="2" t="s">
        <v>17</v>
      </c>
      <c r="I9" s="2" t="s">
        <v>18</v>
      </c>
      <c r="J9">
        <v>0</v>
      </c>
      <c r="K9">
        <f>IF(E9="Paper",Sheet1!$E$9,Sheet1!$E$5)</f>
        <v>1.8900000000000001E-4</v>
      </c>
      <c r="L9">
        <f t="shared" si="0"/>
        <v>0</v>
      </c>
      <c r="M9">
        <f>IF(E9="Paper",Sheet1!$E$6,Sheet1!$E$2)</f>
        <v>1.2285E-4</v>
      </c>
      <c r="N9">
        <f t="shared" si="1"/>
        <v>0</v>
      </c>
      <c r="O9">
        <f>IF(E9="Paper",Sheet1!$E$7,Sheet1!$E$3)</f>
        <v>4.2999999999999999E-4</v>
      </c>
      <c r="P9">
        <f t="shared" si="2"/>
        <v>0</v>
      </c>
      <c r="Q9">
        <f>IF(E9="Paper",Sheet1!$E$8,Sheet1!$E$4)</f>
        <v>5.2999999999999998E-4</v>
      </c>
      <c r="R9">
        <f t="shared" si="3"/>
        <v>0</v>
      </c>
    </row>
    <row r="10" spans="1:18" x14ac:dyDescent="0.3">
      <c r="A10" t="s">
        <v>34</v>
      </c>
      <c r="B10" t="s">
        <v>35</v>
      </c>
      <c r="C10" s="2">
        <v>23.632740680000001</v>
      </c>
      <c r="D10" s="2">
        <v>90.469392839999998</v>
      </c>
      <c r="E10" s="2" t="s">
        <v>36</v>
      </c>
      <c r="F10" s="2"/>
      <c r="G10" s="2" t="s">
        <v>16</v>
      </c>
      <c r="H10" s="2" t="s">
        <v>17</v>
      </c>
      <c r="I10" s="2" t="s">
        <v>18</v>
      </c>
      <c r="J10">
        <v>0</v>
      </c>
      <c r="K10">
        <f>IF(E10="Paper",Sheet1!$E$9,Sheet1!$E$5)</f>
        <v>1.2999999999999999E-3</v>
      </c>
      <c r="L10">
        <f t="shared" si="0"/>
        <v>0</v>
      </c>
      <c r="M10">
        <f>IF(E10="Paper",Sheet1!$E$6,Sheet1!$E$2)</f>
        <v>9.7499999999999996E-4</v>
      </c>
      <c r="N10">
        <f t="shared" si="1"/>
        <v>0</v>
      </c>
      <c r="O10">
        <f>IF(E10="Paper",Sheet1!$E$7,Sheet1!$E$3)</f>
        <v>5.0000000000000001E-3</v>
      </c>
      <c r="P10">
        <f t="shared" si="2"/>
        <v>0</v>
      </c>
      <c r="Q10">
        <f>IF(E10="Paper",Sheet1!$E$8,Sheet1!$E$4)</f>
        <v>2.5000000000000001E-3</v>
      </c>
      <c r="R10">
        <f t="shared" si="3"/>
        <v>0</v>
      </c>
    </row>
    <row r="11" spans="1:18" x14ac:dyDescent="0.3">
      <c r="A11" t="s">
        <v>37</v>
      </c>
      <c r="B11" t="s">
        <v>38</v>
      </c>
      <c r="C11" s="2">
        <v>22.855295649999999</v>
      </c>
      <c r="D11" s="2">
        <v>89.550998460000002</v>
      </c>
      <c r="E11" s="2" t="s">
        <v>15</v>
      </c>
      <c r="F11" s="2"/>
      <c r="G11" s="2" t="s">
        <v>39</v>
      </c>
      <c r="H11" s="2" t="s">
        <v>17</v>
      </c>
      <c r="I11" s="2" t="s">
        <v>18</v>
      </c>
      <c r="J11" s="1">
        <v>55115.56</v>
      </c>
      <c r="K11">
        <f>IF(E11="Paper",Sheet1!$E$9,Sheet1!$E$5)</f>
        <v>1.8900000000000001E-4</v>
      </c>
      <c r="L11">
        <f t="shared" si="0"/>
        <v>10.416840840000001</v>
      </c>
      <c r="M11">
        <f>IF(E11="Paper",Sheet1!$E$6,Sheet1!$E$2)</f>
        <v>1.2285E-4</v>
      </c>
      <c r="N11">
        <f t="shared" si="1"/>
        <v>6.7709465460000002</v>
      </c>
      <c r="O11">
        <f>IF(E11="Paper",Sheet1!$E$7,Sheet1!$E$3)</f>
        <v>4.2999999999999999E-4</v>
      </c>
      <c r="P11">
        <f t="shared" si="2"/>
        <v>23.699690799999999</v>
      </c>
      <c r="Q11">
        <f>IF(E11="Paper",Sheet1!$E$8,Sheet1!$E$4)</f>
        <v>5.2999999999999998E-4</v>
      </c>
      <c r="R11">
        <f t="shared" si="3"/>
        <v>29.211246799999998</v>
      </c>
    </row>
    <row r="12" spans="1:18" x14ac:dyDescent="0.3">
      <c r="A12" t="s">
        <v>40</v>
      </c>
      <c r="B12" t="s">
        <v>41</v>
      </c>
      <c r="C12" s="2">
        <v>23.70634033</v>
      </c>
      <c r="D12" s="2">
        <v>90.557928579999995</v>
      </c>
      <c r="E12" s="2" t="s">
        <v>15</v>
      </c>
      <c r="F12" s="2"/>
      <c r="G12" s="2" t="s">
        <v>16</v>
      </c>
      <c r="H12" s="2" t="s">
        <v>17</v>
      </c>
      <c r="I12" s="2" t="s">
        <v>18</v>
      </c>
      <c r="J12">
        <v>0</v>
      </c>
      <c r="K12">
        <f>IF(E12="Paper",Sheet1!$E$9,Sheet1!$E$5)</f>
        <v>1.8900000000000001E-4</v>
      </c>
      <c r="L12">
        <f t="shared" si="0"/>
        <v>0</v>
      </c>
      <c r="M12">
        <f>IF(E12="Paper",Sheet1!$E$6,Sheet1!$E$2)</f>
        <v>1.2285E-4</v>
      </c>
      <c r="N12">
        <f t="shared" si="1"/>
        <v>0</v>
      </c>
      <c r="O12">
        <f>IF(E12="Paper",Sheet1!$E$7,Sheet1!$E$3)</f>
        <v>4.2999999999999999E-4</v>
      </c>
      <c r="P12">
        <f t="shared" si="2"/>
        <v>0</v>
      </c>
      <c r="Q12">
        <f>IF(E12="Paper",Sheet1!$E$8,Sheet1!$E$4)</f>
        <v>5.2999999999999998E-4</v>
      </c>
      <c r="R12">
        <f t="shared" si="3"/>
        <v>0</v>
      </c>
    </row>
    <row r="13" spans="1:18" x14ac:dyDescent="0.3">
      <c r="A13" t="s">
        <v>42</v>
      </c>
      <c r="B13" t="s">
        <v>43</v>
      </c>
      <c r="C13" s="2">
        <v>23.615670160000001</v>
      </c>
      <c r="D13" s="2">
        <v>90.611929630000006</v>
      </c>
      <c r="E13" s="2" t="s">
        <v>15</v>
      </c>
      <c r="F13" s="2"/>
      <c r="G13" s="2" t="s">
        <v>16</v>
      </c>
      <c r="H13" s="2" t="s">
        <v>17</v>
      </c>
      <c r="I13" s="2" t="s">
        <v>18</v>
      </c>
      <c r="J13" s="1">
        <v>16534.66</v>
      </c>
      <c r="K13">
        <f>IF(E13="Paper",Sheet1!$E$9,Sheet1!$E$5)</f>
        <v>1.8900000000000001E-4</v>
      </c>
      <c r="L13">
        <f t="shared" si="0"/>
        <v>3.1250507400000003</v>
      </c>
      <c r="M13">
        <f>IF(E13="Paper",Sheet1!$E$6,Sheet1!$E$2)</f>
        <v>1.2285E-4</v>
      </c>
      <c r="N13">
        <f t="shared" si="1"/>
        <v>2.0312829809999999</v>
      </c>
      <c r="O13">
        <f>IF(E13="Paper",Sheet1!$E$7,Sheet1!$E$3)</f>
        <v>4.2999999999999999E-4</v>
      </c>
      <c r="P13">
        <f t="shared" si="2"/>
        <v>7.1099037999999997</v>
      </c>
      <c r="Q13">
        <f>IF(E13="Paper",Sheet1!$E$8,Sheet1!$E$4)</f>
        <v>5.2999999999999998E-4</v>
      </c>
      <c r="R13">
        <f t="shared" si="3"/>
        <v>8.7633697999999995</v>
      </c>
    </row>
    <row r="14" spans="1:18" x14ac:dyDescent="0.3">
      <c r="A14" t="s">
        <v>44</v>
      </c>
      <c r="B14" t="s">
        <v>45</v>
      </c>
      <c r="C14" s="2">
        <v>24.076125560000001</v>
      </c>
      <c r="D14" s="2">
        <v>89.048651030000002</v>
      </c>
      <c r="E14" s="2" t="s">
        <v>15</v>
      </c>
      <c r="F14" s="2"/>
      <c r="G14" s="2" t="s">
        <v>46</v>
      </c>
      <c r="H14" s="2" t="s">
        <v>17</v>
      </c>
      <c r="I14" s="2" t="s">
        <v>18</v>
      </c>
      <c r="J14" s="1">
        <v>16534.66</v>
      </c>
      <c r="K14">
        <f>IF(E14="Paper",Sheet1!$E$9,Sheet1!$E$5)</f>
        <v>1.8900000000000001E-4</v>
      </c>
      <c r="L14">
        <f t="shared" si="0"/>
        <v>3.1250507400000003</v>
      </c>
      <c r="M14">
        <f>IF(E14="Paper",Sheet1!$E$6,Sheet1!$E$2)</f>
        <v>1.2285E-4</v>
      </c>
      <c r="N14">
        <f t="shared" si="1"/>
        <v>2.0312829809999999</v>
      </c>
      <c r="O14">
        <f>IF(E14="Paper",Sheet1!$E$7,Sheet1!$E$3)</f>
        <v>4.2999999999999999E-4</v>
      </c>
      <c r="P14">
        <f t="shared" si="2"/>
        <v>7.1099037999999997</v>
      </c>
      <c r="Q14">
        <f>IF(E14="Paper",Sheet1!$E$8,Sheet1!$E$4)</f>
        <v>5.2999999999999998E-4</v>
      </c>
      <c r="R14">
        <f t="shared" si="3"/>
        <v>8.7633697999999995</v>
      </c>
    </row>
    <row r="15" spans="1:18" x14ac:dyDescent="0.3">
      <c r="A15" t="s">
        <v>47</v>
      </c>
      <c r="B15" t="s">
        <v>48</v>
      </c>
      <c r="C15" s="2">
        <v>23.918440749999998</v>
      </c>
      <c r="D15" s="2">
        <v>90.129385189999994</v>
      </c>
      <c r="E15" s="2" t="s">
        <v>15</v>
      </c>
      <c r="F15" s="2"/>
      <c r="G15" s="2" t="s">
        <v>16</v>
      </c>
      <c r="H15" s="2" t="s">
        <v>17</v>
      </c>
      <c r="I15" s="2" t="s">
        <v>18</v>
      </c>
      <c r="J15" s="1">
        <v>44092.45</v>
      </c>
      <c r="K15">
        <f>IF(E15="Paper",Sheet1!$E$9,Sheet1!$E$5)</f>
        <v>1.8900000000000001E-4</v>
      </c>
      <c r="L15">
        <f t="shared" si="0"/>
        <v>8.3334730500000003</v>
      </c>
      <c r="M15">
        <f>IF(E15="Paper",Sheet1!$E$6,Sheet1!$E$2)</f>
        <v>1.2285E-4</v>
      </c>
      <c r="N15">
        <f t="shared" si="1"/>
        <v>5.4167574824999996</v>
      </c>
      <c r="O15">
        <f>IF(E15="Paper",Sheet1!$E$7,Sheet1!$E$3)</f>
        <v>4.2999999999999999E-4</v>
      </c>
      <c r="P15">
        <f t="shared" si="2"/>
        <v>18.959753499999998</v>
      </c>
      <c r="Q15">
        <f>IF(E15="Paper",Sheet1!$E$8,Sheet1!$E$4)</f>
        <v>5.2999999999999998E-4</v>
      </c>
      <c r="R15">
        <f t="shared" si="3"/>
        <v>23.368998499999996</v>
      </c>
    </row>
    <row r="16" spans="1:18" x14ac:dyDescent="0.3">
      <c r="A16" t="s">
        <v>49</v>
      </c>
      <c r="B16" t="s">
        <v>50</v>
      </c>
      <c r="C16" s="2">
        <v>23.57650988</v>
      </c>
      <c r="D16" s="2">
        <v>90.644004980000005</v>
      </c>
      <c r="E16" s="2" t="s">
        <v>15</v>
      </c>
      <c r="F16" s="2"/>
      <c r="G16" s="2" t="s">
        <v>16</v>
      </c>
      <c r="H16" s="2" t="s">
        <v>17</v>
      </c>
      <c r="I16" s="2" t="s">
        <v>18</v>
      </c>
      <c r="J16" s="1">
        <v>8851.5499999999993</v>
      </c>
      <c r="K16">
        <f>IF(E16="Paper",Sheet1!$E$9,Sheet1!$E$5)</f>
        <v>1.8900000000000001E-4</v>
      </c>
      <c r="L16">
        <f t="shared" si="0"/>
        <v>1.6729429499999999</v>
      </c>
      <c r="M16">
        <f>IF(E16="Paper",Sheet1!$E$6,Sheet1!$E$2)</f>
        <v>1.2285E-4</v>
      </c>
      <c r="N16">
        <f t="shared" si="1"/>
        <v>1.0874129175</v>
      </c>
      <c r="O16">
        <f>IF(E16="Paper",Sheet1!$E$7,Sheet1!$E$3)</f>
        <v>4.2999999999999999E-4</v>
      </c>
      <c r="P16">
        <f t="shared" si="2"/>
        <v>3.8061664999999998</v>
      </c>
      <c r="Q16">
        <f>IF(E16="Paper",Sheet1!$E$8,Sheet1!$E$4)</f>
        <v>5.2999999999999998E-4</v>
      </c>
      <c r="R16">
        <f t="shared" si="3"/>
        <v>4.691321499999999</v>
      </c>
    </row>
    <row r="17" spans="1:18" x14ac:dyDescent="0.3">
      <c r="A17" t="s">
        <v>51</v>
      </c>
      <c r="B17" t="s">
        <v>52</v>
      </c>
      <c r="C17" s="2">
        <v>24.023003039999999</v>
      </c>
      <c r="D17" s="2">
        <v>90.272281860000007</v>
      </c>
      <c r="E17" s="2" t="s">
        <v>15</v>
      </c>
      <c r="F17" s="2"/>
      <c r="G17" s="2" t="s">
        <v>16</v>
      </c>
      <c r="H17" s="2" t="s">
        <v>17</v>
      </c>
      <c r="I17" s="2" t="s">
        <v>18</v>
      </c>
      <c r="J17" s="1">
        <v>8046.87</v>
      </c>
      <c r="K17">
        <f>IF(E17="Paper",Sheet1!$E$9,Sheet1!$E$5)</f>
        <v>1.8900000000000001E-4</v>
      </c>
      <c r="L17">
        <f t="shared" si="0"/>
        <v>1.5208584300000001</v>
      </c>
      <c r="M17">
        <f>IF(E17="Paper",Sheet1!$E$6,Sheet1!$E$2)</f>
        <v>1.2285E-4</v>
      </c>
      <c r="N17">
        <f t="shared" si="1"/>
        <v>0.98855797950000002</v>
      </c>
      <c r="O17">
        <f>IF(E17="Paper",Sheet1!$E$7,Sheet1!$E$3)</f>
        <v>4.2999999999999999E-4</v>
      </c>
      <c r="P17">
        <f t="shared" si="2"/>
        <v>3.4601541</v>
      </c>
      <c r="Q17">
        <f>IF(E17="Paper",Sheet1!$E$8,Sheet1!$E$4)</f>
        <v>5.2999999999999998E-4</v>
      </c>
      <c r="R17">
        <f t="shared" si="3"/>
        <v>4.2648410999999999</v>
      </c>
    </row>
    <row r="18" spans="1:18" x14ac:dyDescent="0.3">
      <c r="A18" t="s">
        <v>53</v>
      </c>
      <c r="B18" t="s">
        <v>54</v>
      </c>
      <c r="C18" s="2">
        <v>23.716863029999999</v>
      </c>
      <c r="D18" s="2">
        <v>90.506283530000005</v>
      </c>
      <c r="E18" s="2" t="s">
        <v>36</v>
      </c>
      <c r="F18" s="2"/>
      <c r="G18" s="2" t="s">
        <v>16</v>
      </c>
      <c r="H18" s="2" t="s">
        <v>17</v>
      </c>
      <c r="I18" s="2" t="s">
        <v>18</v>
      </c>
      <c r="J18" s="1">
        <v>18105.46</v>
      </c>
      <c r="K18">
        <f>IF(E18="Paper",Sheet1!$E$9,Sheet1!$E$5)</f>
        <v>1.2999999999999999E-3</v>
      </c>
      <c r="L18">
        <f t="shared" si="0"/>
        <v>23.537097999999997</v>
      </c>
      <c r="M18">
        <f>IF(E18="Paper",Sheet1!$E$6,Sheet1!$E$2)</f>
        <v>9.7499999999999996E-4</v>
      </c>
      <c r="N18">
        <f t="shared" si="1"/>
        <v>17.652823499999997</v>
      </c>
      <c r="O18">
        <f>IF(E18="Paper",Sheet1!$E$7,Sheet1!$E$3)</f>
        <v>5.0000000000000001E-3</v>
      </c>
      <c r="P18">
        <f t="shared" si="2"/>
        <v>90.527299999999997</v>
      </c>
      <c r="Q18">
        <f>IF(E18="Paper",Sheet1!$E$8,Sheet1!$E$4)</f>
        <v>2.5000000000000001E-3</v>
      </c>
      <c r="R18">
        <f t="shared" si="3"/>
        <v>45.263649999999998</v>
      </c>
    </row>
    <row r="19" spans="1:18" x14ac:dyDescent="0.3">
      <c r="A19" t="s">
        <v>55</v>
      </c>
      <c r="B19" t="s">
        <v>56</v>
      </c>
      <c r="C19" s="2">
        <v>23.669988350000001</v>
      </c>
      <c r="D19" s="2">
        <v>90.295079720000004</v>
      </c>
      <c r="E19" s="2" t="s">
        <v>15</v>
      </c>
      <c r="F19" s="2"/>
      <c r="G19" s="2" t="s">
        <v>16</v>
      </c>
      <c r="H19" s="2" t="s">
        <v>17</v>
      </c>
      <c r="I19" s="2" t="s">
        <v>18</v>
      </c>
      <c r="J19">
        <v>0</v>
      </c>
      <c r="K19">
        <f>IF(E19="Paper",Sheet1!$E$9,Sheet1!$E$5)</f>
        <v>1.8900000000000001E-4</v>
      </c>
      <c r="L19">
        <f t="shared" si="0"/>
        <v>0</v>
      </c>
      <c r="M19">
        <f>IF(E19="Paper",Sheet1!$E$6,Sheet1!$E$2)</f>
        <v>1.2285E-4</v>
      </c>
      <c r="N19">
        <f t="shared" si="1"/>
        <v>0</v>
      </c>
      <c r="O19">
        <f>IF(E19="Paper",Sheet1!$E$7,Sheet1!$E$3)</f>
        <v>4.2999999999999999E-4</v>
      </c>
      <c r="P19">
        <f t="shared" si="2"/>
        <v>0</v>
      </c>
      <c r="Q19">
        <f>IF(E19="Paper",Sheet1!$E$8,Sheet1!$E$4)</f>
        <v>5.2999999999999998E-4</v>
      </c>
      <c r="R19">
        <f t="shared" si="3"/>
        <v>0</v>
      </c>
    </row>
    <row r="20" spans="1:18" x14ac:dyDescent="0.3">
      <c r="A20" t="s">
        <v>57</v>
      </c>
      <c r="B20" t="s">
        <v>58</v>
      </c>
      <c r="C20">
        <v>30.913622499999999</v>
      </c>
      <c r="D20">
        <v>75.817078600000002</v>
      </c>
      <c r="E20" t="s">
        <v>15</v>
      </c>
      <c r="G20" t="s">
        <v>59</v>
      </c>
      <c r="H20" t="s">
        <v>60</v>
      </c>
      <c r="I20" t="s">
        <v>18</v>
      </c>
      <c r="J20" s="1">
        <v>108000</v>
      </c>
      <c r="K20">
        <f>IF(E20="Paper",Sheet1!$E$9,Sheet1!$E$5)</f>
        <v>1.8900000000000001E-4</v>
      </c>
      <c r="L20">
        <f t="shared" si="0"/>
        <v>20.412000000000003</v>
      </c>
      <c r="M20">
        <f>IF(E20="Paper",Sheet1!$E$6,Sheet1!$E$2)</f>
        <v>1.2285E-4</v>
      </c>
      <c r="N20">
        <f t="shared" si="1"/>
        <v>13.267800000000001</v>
      </c>
      <c r="O20">
        <f>IF(E20="Paper",Sheet1!$E$7,Sheet1!$E$3)</f>
        <v>4.2999999999999999E-4</v>
      </c>
      <c r="P20">
        <f t="shared" si="2"/>
        <v>46.44</v>
      </c>
      <c r="Q20">
        <f>IF(E20="Paper",Sheet1!$E$8,Sheet1!$E$4)</f>
        <v>5.2999999999999998E-4</v>
      </c>
      <c r="R20">
        <f t="shared" si="3"/>
        <v>57.239999999999995</v>
      </c>
    </row>
    <row r="21" spans="1:18" x14ac:dyDescent="0.3">
      <c r="A21" t="s">
        <v>61</v>
      </c>
      <c r="B21" t="s">
        <v>62</v>
      </c>
      <c r="C21">
        <v>29.4610536</v>
      </c>
      <c r="D21">
        <v>77.686191600000001</v>
      </c>
      <c r="E21" t="s">
        <v>15</v>
      </c>
      <c r="G21" t="s">
        <v>63</v>
      </c>
      <c r="H21" t="s">
        <v>60</v>
      </c>
      <c r="I21" t="s">
        <v>18</v>
      </c>
      <c r="J21">
        <v>0</v>
      </c>
      <c r="K21">
        <f>IF(E21="Paper",Sheet1!$E$9,Sheet1!$E$5)</f>
        <v>1.8900000000000001E-4</v>
      </c>
      <c r="L21">
        <f t="shared" si="0"/>
        <v>0</v>
      </c>
      <c r="M21">
        <f>IF(E21="Paper",Sheet1!$E$6,Sheet1!$E$2)</f>
        <v>1.2285E-4</v>
      </c>
      <c r="N21">
        <f t="shared" si="1"/>
        <v>0</v>
      </c>
      <c r="O21">
        <f>IF(E21="Paper",Sheet1!$E$7,Sheet1!$E$3)</f>
        <v>4.2999999999999999E-4</v>
      </c>
      <c r="P21">
        <f t="shared" si="2"/>
        <v>0</v>
      </c>
      <c r="Q21">
        <f>IF(E21="Paper",Sheet1!$E$8,Sheet1!$E$4)</f>
        <v>5.2999999999999998E-4</v>
      </c>
      <c r="R21">
        <f t="shared" si="3"/>
        <v>0</v>
      </c>
    </row>
    <row r="22" spans="1:18" x14ac:dyDescent="0.3">
      <c r="A22" t="s">
        <v>64</v>
      </c>
      <c r="B22" t="s">
        <v>65</v>
      </c>
      <c r="C22">
        <v>28.634933799999999</v>
      </c>
      <c r="D22">
        <v>77.179282499999999</v>
      </c>
      <c r="E22" t="s">
        <v>66</v>
      </c>
      <c r="G22" t="s">
        <v>67</v>
      </c>
      <c r="H22" t="s">
        <v>60</v>
      </c>
      <c r="I22" t="s">
        <v>18</v>
      </c>
      <c r="J22">
        <v>0</v>
      </c>
      <c r="K22">
        <f>IF(E22="Paper",Sheet1!$E$9,Sheet1!$E$5)</f>
        <v>1.2999999999999999E-3</v>
      </c>
      <c r="L22">
        <f t="shared" si="0"/>
        <v>0</v>
      </c>
      <c r="M22">
        <f>IF(E22="Paper",Sheet1!$E$6,Sheet1!$E$2)</f>
        <v>9.7499999999999996E-4</v>
      </c>
      <c r="N22">
        <f t="shared" si="1"/>
        <v>0</v>
      </c>
      <c r="O22">
        <f>IF(E22="Paper",Sheet1!$E$7,Sheet1!$E$3)</f>
        <v>5.0000000000000001E-3</v>
      </c>
      <c r="P22">
        <f t="shared" si="2"/>
        <v>0</v>
      </c>
      <c r="Q22">
        <f>IF(E22="Paper",Sheet1!$E$8,Sheet1!$E$4)</f>
        <v>2.5000000000000001E-3</v>
      </c>
      <c r="R22">
        <f t="shared" si="3"/>
        <v>0</v>
      </c>
    </row>
    <row r="23" spans="1:18" x14ac:dyDescent="0.3">
      <c r="A23" t="s">
        <v>68</v>
      </c>
      <c r="B23" t="s">
        <v>69</v>
      </c>
      <c r="C23">
        <v>29.153953829999999</v>
      </c>
      <c r="D23">
        <v>78.929522219999996</v>
      </c>
      <c r="E23" t="s">
        <v>15</v>
      </c>
      <c r="G23" t="s">
        <v>70</v>
      </c>
      <c r="H23" t="s">
        <v>60</v>
      </c>
      <c r="I23" t="s">
        <v>18</v>
      </c>
      <c r="J23">
        <v>0</v>
      </c>
      <c r="K23">
        <f>IF(E23="Paper",Sheet1!$E$9,Sheet1!$E$5)</f>
        <v>1.8900000000000001E-4</v>
      </c>
      <c r="L23">
        <f t="shared" si="0"/>
        <v>0</v>
      </c>
      <c r="M23">
        <f>IF(E23="Paper",Sheet1!$E$6,Sheet1!$E$2)</f>
        <v>1.2285E-4</v>
      </c>
      <c r="N23">
        <f t="shared" si="1"/>
        <v>0</v>
      </c>
      <c r="O23">
        <f>IF(E23="Paper",Sheet1!$E$7,Sheet1!$E$3)</f>
        <v>4.2999999999999999E-4</v>
      </c>
      <c r="P23">
        <f t="shared" si="2"/>
        <v>0</v>
      </c>
      <c r="Q23">
        <f>IF(E23="Paper",Sheet1!$E$8,Sheet1!$E$4)</f>
        <v>5.2999999999999998E-4</v>
      </c>
      <c r="R23">
        <f t="shared" si="3"/>
        <v>0</v>
      </c>
    </row>
    <row r="24" spans="1:18" x14ac:dyDescent="0.3">
      <c r="A24" t="s">
        <v>71</v>
      </c>
      <c r="B24" t="s">
        <v>72</v>
      </c>
      <c r="C24">
        <v>25.392090499999998</v>
      </c>
      <c r="D24">
        <v>81.867189600000003</v>
      </c>
      <c r="E24" t="s">
        <v>15</v>
      </c>
      <c r="G24" t="s">
        <v>73</v>
      </c>
      <c r="H24" t="s">
        <v>60</v>
      </c>
      <c r="I24" t="s">
        <v>18</v>
      </c>
      <c r="J24">
        <v>0</v>
      </c>
      <c r="K24">
        <f>IF(E24="Paper",Sheet1!$E$9,Sheet1!$E$5)</f>
        <v>1.8900000000000001E-4</v>
      </c>
      <c r="L24">
        <f t="shared" si="0"/>
        <v>0</v>
      </c>
      <c r="M24">
        <f>IF(E24="Paper",Sheet1!$E$6,Sheet1!$E$2)</f>
        <v>1.2285E-4</v>
      </c>
      <c r="N24">
        <f t="shared" si="1"/>
        <v>0</v>
      </c>
      <c r="O24">
        <f>IF(E24="Paper",Sheet1!$E$7,Sheet1!$E$3)</f>
        <v>4.2999999999999999E-4</v>
      </c>
      <c r="P24">
        <f t="shared" si="2"/>
        <v>0</v>
      </c>
      <c r="Q24">
        <f>IF(E24="Paper",Sheet1!$E$8,Sheet1!$E$4)</f>
        <v>5.2999999999999998E-4</v>
      </c>
      <c r="R24">
        <f t="shared" si="3"/>
        <v>0</v>
      </c>
    </row>
    <row r="25" spans="1:18" x14ac:dyDescent="0.3">
      <c r="A25" t="s">
        <v>74</v>
      </c>
      <c r="B25" t="s">
        <v>75</v>
      </c>
      <c r="C25">
        <v>30.1253913</v>
      </c>
      <c r="D25">
        <v>77.286179099999998</v>
      </c>
      <c r="E25" t="s">
        <v>76</v>
      </c>
      <c r="G25" t="s">
        <v>77</v>
      </c>
      <c r="H25" t="s">
        <v>60</v>
      </c>
      <c r="I25" t="s">
        <v>18</v>
      </c>
      <c r="J25" s="1">
        <v>67000</v>
      </c>
      <c r="K25">
        <f>IF(E25="Paper",Sheet1!$E$9,Sheet1!$E$5)</f>
        <v>1.2999999999999999E-3</v>
      </c>
      <c r="L25">
        <f t="shared" si="0"/>
        <v>87.1</v>
      </c>
      <c r="M25">
        <f>IF(E25="Paper",Sheet1!$E$6,Sheet1!$E$2)</f>
        <v>9.7499999999999996E-4</v>
      </c>
      <c r="N25">
        <f t="shared" si="1"/>
        <v>65.325000000000003</v>
      </c>
      <c r="O25">
        <f>IF(E25="Paper",Sheet1!$E$7,Sheet1!$E$3)</f>
        <v>5.0000000000000001E-3</v>
      </c>
      <c r="P25">
        <f t="shared" si="2"/>
        <v>335</v>
      </c>
      <c r="Q25">
        <f>IF(E25="Paper",Sheet1!$E$8,Sheet1!$E$4)</f>
        <v>2.5000000000000001E-3</v>
      </c>
      <c r="R25">
        <f t="shared" si="3"/>
        <v>167.5</v>
      </c>
    </row>
    <row r="26" spans="1:18" x14ac:dyDescent="0.3">
      <c r="A26" t="s">
        <v>78</v>
      </c>
      <c r="B26" t="s">
        <v>79</v>
      </c>
      <c r="C26">
        <v>28.479521299999998</v>
      </c>
      <c r="D26">
        <v>77.083473600000005</v>
      </c>
      <c r="E26" t="s">
        <v>27</v>
      </c>
      <c r="G26" t="s">
        <v>80</v>
      </c>
      <c r="H26" t="s">
        <v>60</v>
      </c>
      <c r="I26" t="s">
        <v>18</v>
      </c>
      <c r="K26">
        <f>IF(E26="Paper",Sheet1!$E$9,Sheet1!$E$5)</f>
        <v>1.2999999999999999E-3</v>
      </c>
      <c r="L26">
        <f t="shared" si="0"/>
        <v>0</v>
      </c>
      <c r="M26">
        <f>IF(E26="Paper",Sheet1!$E$6,Sheet1!$E$2)</f>
        <v>9.7499999999999996E-4</v>
      </c>
      <c r="N26">
        <f t="shared" si="1"/>
        <v>0</v>
      </c>
      <c r="O26">
        <f>IF(E26="Paper",Sheet1!$E$7,Sheet1!$E$3)</f>
        <v>5.0000000000000001E-3</v>
      </c>
      <c r="P26">
        <f t="shared" si="2"/>
        <v>0</v>
      </c>
      <c r="Q26">
        <f>IF(E26="Paper",Sheet1!$E$8,Sheet1!$E$4)</f>
        <v>2.5000000000000001E-3</v>
      </c>
      <c r="R26">
        <f t="shared" si="3"/>
        <v>0</v>
      </c>
    </row>
    <row r="27" spans="1:18" x14ac:dyDescent="0.3">
      <c r="A27" t="s">
        <v>81</v>
      </c>
      <c r="B27" t="s">
        <v>82</v>
      </c>
      <c r="C27">
        <v>29.4713791</v>
      </c>
      <c r="D27">
        <v>77.752484699999997</v>
      </c>
      <c r="E27" t="s">
        <v>27</v>
      </c>
      <c r="G27" t="s">
        <v>63</v>
      </c>
      <c r="H27" t="s">
        <v>60</v>
      </c>
      <c r="I27" t="s">
        <v>18</v>
      </c>
      <c r="K27">
        <f>IF(E27="Paper",Sheet1!$E$9,Sheet1!$E$5)</f>
        <v>1.2999999999999999E-3</v>
      </c>
      <c r="L27">
        <f t="shared" si="0"/>
        <v>0</v>
      </c>
      <c r="M27">
        <f>IF(E27="Paper",Sheet1!$E$6,Sheet1!$E$2)</f>
        <v>9.7499999999999996E-4</v>
      </c>
      <c r="N27">
        <f t="shared" si="1"/>
        <v>0</v>
      </c>
      <c r="O27">
        <f>IF(E27="Paper",Sheet1!$E$7,Sheet1!$E$3)</f>
        <v>5.0000000000000001E-3</v>
      </c>
      <c r="P27">
        <f t="shared" si="2"/>
        <v>0</v>
      </c>
      <c r="Q27">
        <f>IF(E27="Paper",Sheet1!$E$8,Sheet1!$E$4)</f>
        <v>2.5000000000000001E-3</v>
      </c>
      <c r="R27">
        <f t="shared" si="3"/>
        <v>0</v>
      </c>
    </row>
    <row r="28" spans="1:18" x14ac:dyDescent="0.3">
      <c r="A28" t="s">
        <v>83</v>
      </c>
      <c r="B28" t="s">
        <v>84</v>
      </c>
      <c r="C28">
        <v>29.1309316</v>
      </c>
      <c r="D28">
        <v>78.307016200000007</v>
      </c>
      <c r="E28" t="s">
        <v>15</v>
      </c>
      <c r="G28" t="s">
        <v>85</v>
      </c>
      <c r="H28" t="s">
        <v>60</v>
      </c>
      <c r="I28" t="s">
        <v>18</v>
      </c>
      <c r="J28">
        <v>0</v>
      </c>
      <c r="K28">
        <f>IF(E28="Paper",Sheet1!$E$9,Sheet1!$E$5)</f>
        <v>1.8900000000000001E-4</v>
      </c>
      <c r="L28">
        <f t="shared" si="0"/>
        <v>0</v>
      </c>
      <c r="M28">
        <f>IF(E28="Paper",Sheet1!$E$6,Sheet1!$E$2)</f>
        <v>1.2285E-4</v>
      </c>
      <c r="N28">
        <f t="shared" si="1"/>
        <v>0</v>
      </c>
      <c r="O28">
        <f>IF(E28="Paper",Sheet1!$E$7,Sheet1!$E$3)</f>
        <v>4.2999999999999999E-4</v>
      </c>
      <c r="P28">
        <f t="shared" si="2"/>
        <v>0</v>
      </c>
      <c r="Q28">
        <f>IF(E28="Paper",Sheet1!$E$8,Sheet1!$E$4)</f>
        <v>5.2999999999999998E-4</v>
      </c>
      <c r="R28">
        <f t="shared" si="3"/>
        <v>0</v>
      </c>
    </row>
    <row r="29" spans="1:18" x14ac:dyDescent="0.3">
      <c r="A29" t="s">
        <v>86</v>
      </c>
      <c r="B29" t="s">
        <v>87</v>
      </c>
      <c r="C29">
        <v>27.570588600000001</v>
      </c>
      <c r="D29">
        <v>80.098186900000002</v>
      </c>
      <c r="E29" t="s">
        <v>15</v>
      </c>
      <c r="G29" t="s">
        <v>88</v>
      </c>
      <c r="H29" t="s">
        <v>60</v>
      </c>
      <c r="I29" t="s">
        <v>18</v>
      </c>
      <c r="J29">
        <v>0</v>
      </c>
      <c r="K29">
        <f>IF(E29="Paper",Sheet1!$E$9,Sheet1!$E$5)</f>
        <v>1.8900000000000001E-4</v>
      </c>
      <c r="L29">
        <f t="shared" si="0"/>
        <v>0</v>
      </c>
      <c r="M29">
        <f>IF(E29="Paper",Sheet1!$E$6,Sheet1!$E$2)</f>
        <v>1.2285E-4</v>
      </c>
      <c r="N29">
        <f t="shared" si="1"/>
        <v>0</v>
      </c>
      <c r="O29">
        <f>IF(E29="Paper",Sheet1!$E$7,Sheet1!$E$3)</f>
        <v>4.2999999999999999E-4</v>
      </c>
      <c r="P29">
        <f t="shared" si="2"/>
        <v>0</v>
      </c>
      <c r="Q29">
        <f>IF(E29="Paper",Sheet1!$E$8,Sheet1!$E$4)</f>
        <v>5.2999999999999998E-4</v>
      </c>
      <c r="R29">
        <f t="shared" si="3"/>
        <v>0</v>
      </c>
    </row>
    <row r="30" spans="1:18" x14ac:dyDescent="0.3">
      <c r="A30" t="s">
        <v>89</v>
      </c>
      <c r="B30" t="s">
        <v>90</v>
      </c>
      <c r="C30">
        <v>28.738846500000001</v>
      </c>
      <c r="D30">
        <v>77.262261600000002</v>
      </c>
      <c r="E30" t="s">
        <v>15</v>
      </c>
      <c r="G30" t="s">
        <v>91</v>
      </c>
      <c r="H30" t="s">
        <v>60</v>
      </c>
      <c r="I30" t="s">
        <v>18</v>
      </c>
      <c r="J30">
        <v>0</v>
      </c>
      <c r="K30">
        <f>IF(E30="Paper",Sheet1!$E$9,Sheet1!$E$5)</f>
        <v>1.8900000000000001E-4</v>
      </c>
      <c r="L30">
        <f t="shared" si="0"/>
        <v>0</v>
      </c>
      <c r="M30">
        <f>IF(E30="Paper",Sheet1!$E$6,Sheet1!$E$2)</f>
        <v>1.2285E-4</v>
      </c>
      <c r="N30">
        <f t="shared" si="1"/>
        <v>0</v>
      </c>
      <c r="O30">
        <f>IF(E30="Paper",Sheet1!$E$7,Sheet1!$E$3)</f>
        <v>4.2999999999999999E-4</v>
      </c>
      <c r="P30">
        <f t="shared" si="2"/>
        <v>0</v>
      </c>
      <c r="Q30">
        <f>IF(E30="Paper",Sheet1!$E$8,Sheet1!$E$4)</f>
        <v>5.2999999999999998E-4</v>
      </c>
      <c r="R30">
        <f t="shared" si="3"/>
        <v>0</v>
      </c>
    </row>
    <row r="31" spans="1:18" x14ac:dyDescent="0.3">
      <c r="A31" t="s">
        <v>92</v>
      </c>
      <c r="B31" t="s">
        <v>93</v>
      </c>
      <c r="C31">
        <v>28.5395203</v>
      </c>
      <c r="D31">
        <v>77.289257199999994</v>
      </c>
      <c r="E31" t="s">
        <v>15</v>
      </c>
      <c r="G31" t="s">
        <v>94</v>
      </c>
      <c r="H31" t="s">
        <v>60</v>
      </c>
      <c r="I31" t="s">
        <v>18</v>
      </c>
      <c r="J31">
        <v>0</v>
      </c>
      <c r="K31">
        <f>IF(E31="Paper",Sheet1!$E$9,Sheet1!$E$5)</f>
        <v>1.8900000000000001E-4</v>
      </c>
      <c r="L31">
        <f t="shared" si="0"/>
        <v>0</v>
      </c>
      <c r="M31">
        <f>IF(E31="Paper",Sheet1!$E$6,Sheet1!$E$2)</f>
        <v>1.2285E-4</v>
      </c>
      <c r="N31">
        <f t="shared" si="1"/>
        <v>0</v>
      </c>
      <c r="O31">
        <f>IF(E31="Paper",Sheet1!$E$7,Sheet1!$E$3)</f>
        <v>4.2999999999999999E-4</v>
      </c>
      <c r="P31">
        <f t="shared" si="2"/>
        <v>0</v>
      </c>
      <c r="Q31">
        <f>IF(E31="Paper",Sheet1!$E$8,Sheet1!$E$4)</f>
        <v>5.2999999999999998E-4</v>
      </c>
      <c r="R31">
        <f t="shared" si="3"/>
        <v>0</v>
      </c>
    </row>
    <row r="32" spans="1:18" x14ac:dyDescent="0.3">
      <c r="A32" t="s">
        <v>95</v>
      </c>
      <c r="B32" t="s">
        <v>96</v>
      </c>
      <c r="C32">
        <v>22.549348699999999</v>
      </c>
      <c r="D32">
        <v>88.3575388</v>
      </c>
      <c r="E32" t="s">
        <v>36</v>
      </c>
      <c r="G32" t="s">
        <v>97</v>
      </c>
      <c r="H32" t="s">
        <v>60</v>
      </c>
      <c r="I32" t="s">
        <v>18</v>
      </c>
      <c r="J32">
        <v>0</v>
      </c>
      <c r="K32">
        <f>IF(E32="Paper",Sheet1!$E$9,Sheet1!$E$5)</f>
        <v>1.2999999999999999E-3</v>
      </c>
      <c r="L32">
        <f t="shared" si="0"/>
        <v>0</v>
      </c>
      <c r="M32">
        <f>IF(E32="Paper",Sheet1!$E$6,Sheet1!$E$2)</f>
        <v>9.7499999999999996E-4</v>
      </c>
      <c r="N32">
        <f t="shared" si="1"/>
        <v>0</v>
      </c>
      <c r="O32">
        <f>IF(E32="Paper",Sheet1!$E$7,Sheet1!$E$3)</f>
        <v>5.0000000000000001E-3</v>
      </c>
      <c r="P32">
        <f t="shared" si="2"/>
        <v>0</v>
      </c>
      <c r="Q32">
        <f>IF(E32="Paper",Sheet1!$E$8,Sheet1!$E$4)</f>
        <v>2.5000000000000001E-3</v>
      </c>
      <c r="R32">
        <f t="shared" si="3"/>
        <v>0</v>
      </c>
    </row>
    <row r="33" spans="1:18" x14ac:dyDescent="0.3">
      <c r="A33" t="s">
        <v>98</v>
      </c>
      <c r="B33" t="s">
        <v>99</v>
      </c>
      <c r="C33">
        <v>28.702227000000001</v>
      </c>
      <c r="D33">
        <v>77.173582999999994</v>
      </c>
      <c r="E33" t="s">
        <v>15</v>
      </c>
      <c r="G33" t="s">
        <v>94</v>
      </c>
      <c r="H33" t="s">
        <v>60</v>
      </c>
      <c r="I33" t="s">
        <v>18</v>
      </c>
      <c r="J33">
        <v>0</v>
      </c>
      <c r="K33">
        <f>IF(E33="Paper",Sheet1!$E$9,Sheet1!$E$5)</f>
        <v>1.8900000000000001E-4</v>
      </c>
      <c r="L33">
        <f t="shared" si="0"/>
        <v>0</v>
      </c>
      <c r="M33">
        <f>IF(E33="Paper",Sheet1!$E$6,Sheet1!$E$2)</f>
        <v>1.2285E-4</v>
      </c>
      <c r="N33">
        <f t="shared" si="1"/>
        <v>0</v>
      </c>
      <c r="O33">
        <f>IF(E33="Paper",Sheet1!$E$7,Sheet1!$E$3)</f>
        <v>4.2999999999999999E-4</v>
      </c>
      <c r="P33">
        <f t="shared" si="2"/>
        <v>0</v>
      </c>
      <c r="Q33">
        <f>IF(E33="Paper",Sheet1!$E$8,Sheet1!$E$4)</f>
        <v>5.2999999999999998E-4</v>
      </c>
      <c r="R33">
        <f t="shared" si="3"/>
        <v>0</v>
      </c>
    </row>
    <row r="34" spans="1:18" x14ac:dyDescent="0.3">
      <c r="A34" t="s">
        <v>100</v>
      </c>
      <c r="B34" t="s">
        <v>101</v>
      </c>
      <c r="C34">
        <v>28.807261400000002</v>
      </c>
      <c r="D34">
        <v>77.140421099999998</v>
      </c>
      <c r="E34" t="s">
        <v>15</v>
      </c>
      <c r="G34" t="s">
        <v>102</v>
      </c>
      <c r="H34" t="s">
        <v>60</v>
      </c>
      <c r="I34" t="s">
        <v>18</v>
      </c>
      <c r="J34">
        <v>0</v>
      </c>
      <c r="K34">
        <f>IF(E34="Paper",Sheet1!$E$9,Sheet1!$E$5)</f>
        <v>1.8900000000000001E-4</v>
      </c>
      <c r="L34">
        <f t="shared" si="0"/>
        <v>0</v>
      </c>
      <c r="M34">
        <f>IF(E34="Paper",Sheet1!$E$6,Sheet1!$E$2)</f>
        <v>1.2285E-4</v>
      </c>
      <c r="N34">
        <f t="shared" si="1"/>
        <v>0</v>
      </c>
      <c r="O34">
        <f>IF(E34="Paper",Sheet1!$E$7,Sheet1!$E$3)</f>
        <v>4.2999999999999999E-4</v>
      </c>
      <c r="P34">
        <f t="shared" si="2"/>
        <v>0</v>
      </c>
      <c r="Q34">
        <f>IF(E34="Paper",Sheet1!$E$8,Sheet1!$E$4)</f>
        <v>5.2999999999999998E-4</v>
      </c>
      <c r="R34">
        <f t="shared" si="3"/>
        <v>0</v>
      </c>
    </row>
    <row r="35" spans="1:18" x14ac:dyDescent="0.3">
      <c r="A35" t="s">
        <v>103</v>
      </c>
      <c r="B35" t="s">
        <v>104</v>
      </c>
      <c r="C35">
        <v>28.580386300000001</v>
      </c>
      <c r="D35">
        <v>77.244268899999994</v>
      </c>
      <c r="E35" t="s">
        <v>27</v>
      </c>
      <c r="G35" t="s">
        <v>105</v>
      </c>
      <c r="H35" t="s">
        <v>60</v>
      </c>
      <c r="I35" t="s">
        <v>18</v>
      </c>
      <c r="J35">
        <v>0</v>
      </c>
      <c r="K35">
        <f>IF(E35="Paper",Sheet1!$E$9,Sheet1!$E$5)</f>
        <v>1.2999999999999999E-3</v>
      </c>
      <c r="L35">
        <f t="shared" si="0"/>
        <v>0</v>
      </c>
      <c r="M35">
        <f>IF(E35="Paper",Sheet1!$E$6,Sheet1!$E$2)</f>
        <v>9.7499999999999996E-4</v>
      </c>
      <c r="N35">
        <f t="shared" si="1"/>
        <v>0</v>
      </c>
      <c r="O35">
        <f>IF(E35="Paper",Sheet1!$E$7,Sheet1!$E$3)</f>
        <v>5.0000000000000001E-3</v>
      </c>
      <c r="P35">
        <f t="shared" si="2"/>
        <v>0</v>
      </c>
      <c r="Q35">
        <f>IF(E35="Paper",Sheet1!$E$8,Sheet1!$E$4)</f>
        <v>2.5000000000000001E-3</v>
      </c>
      <c r="R35">
        <f t="shared" si="3"/>
        <v>0</v>
      </c>
    </row>
    <row r="36" spans="1:18" x14ac:dyDescent="0.3">
      <c r="A36" t="s">
        <v>106</v>
      </c>
      <c r="B36" t="s">
        <v>107</v>
      </c>
      <c r="C36">
        <v>22.5512458</v>
      </c>
      <c r="D36">
        <v>88.349184500000007</v>
      </c>
      <c r="E36" t="s">
        <v>27</v>
      </c>
      <c r="G36" t="s">
        <v>97</v>
      </c>
      <c r="H36" t="s">
        <v>60</v>
      </c>
      <c r="I36" t="s">
        <v>18</v>
      </c>
      <c r="J36">
        <v>0</v>
      </c>
      <c r="K36">
        <f>IF(E36="Paper",Sheet1!$E$9,Sheet1!$E$5)</f>
        <v>1.2999999999999999E-3</v>
      </c>
      <c r="L36">
        <f t="shared" si="0"/>
        <v>0</v>
      </c>
      <c r="M36">
        <f>IF(E36="Paper",Sheet1!$E$6,Sheet1!$E$2)</f>
        <v>9.7499999999999996E-4</v>
      </c>
      <c r="N36">
        <f t="shared" si="1"/>
        <v>0</v>
      </c>
      <c r="O36">
        <f>IF(E36="Paper",Sheet1!$E$7,Sheet1!$E$3)</f>
        <v>5.0000000000000001E-3</v>
      </c>
      <c r="P36">
        <f t="shared" si="2"/>
        <v>0</v>
      </c>
      <c r="Q36">
        <f>IF(E36="Paper",Sheet1!$E$8,Sheet1!$E$4)</f>
        <v>2.5000000000000001E-3</v>
      </c>
      <c r="R36">
        <f t="shared" si="3"/>
        <v>0</v>
      </c>
    </row>
    <row r="37" spans="1:18" x14ac:dyDescent="0.3">
      <c r="A37" t="s">
        <v>108</v>
      </c>
      <c r="B37" t="s">
        <v>109</v>
      </c>
      <c r="C37">
        <v>22.590271699999999</v>
      </c>
      <c r="D37">
        <v>88.404164100000003</v>
      </c>
      <c r="E37" t="s">
        <v>27</v>
      </c>
      <c r="G37" t="s">
        <v>97</v>
      </c>
      <c r="H37" t="s">
        <v>60</v>
      </c>
      <c r="I37" t="s">
        <v>18</v>
      </c>
      <c r="J37">
        <v>0</v>
      </c>
      <c r="K37">
        <f>IF(E37="Paper",Sheet1!$E$9,Sheet1!$E$5)</f>
        <v>1.2999999999999999E-3</v>
      </c>
      <c r="L37">
        <f t="shared" si="0"/>
        <v>0</v>
      </c>
      <c r="M37">
        <f>IF(E37="Paper",Sheet1!$E$6,Sheet1!$E$2)</f>
        <v>9.7499999999999996E-4</v>
      </c>
      <c r="N37">
        <f t="shared" si="1"/>
        <v>0</v>
      </c>
      <c r="O37">
        <f>IF(E37="Paper",Sheet1!$E$7,Sheet1!$E$3)</f>
        <v>5.0000000000000001E-3</v>
      </c>
      <c r="P37">
        <f t="shared" si="2"/>
        <v>0</v>
      </c>
      <c r="Q37">
        <f>IF(E37="Paper",Sheet1!$E$8,Sheet1!$E$4)</f>
        <v>2.5000000000000001E-3</v>
      </c>
      <c r="R37">
        <f t="shared" si="3"/>
        <v>0</v>
      </c>
    </row>
    <row r="38" spans="1:18" x14ac:dyDescent="0.3">
      <c r="A38" t="s">
        <v>110</v>
      </c>
      <c r="B38" t="s">
        <v>111</v>
      </c>
      <c r="C38">
        <v>30.737540299999999</v>
      </c>
      <c r="D38">
        <v>76.793495100000001</v>
      </c>
      <c r="E38" t="s">
        <v>27</v>
      </c>
      <c r="G38" t="s">
        <v>112</v>
      </c>
      <c r="H38" t="s">
        <v>60</v>
      </c>
      <c r="I38" t="s">
        <v>18</v>
      </c>
      <c r="J38">
        <v>0</v>
      </c>
      <c r="K38">
        <f>IF(E38="Paper",Sheet1!$E$9,Sheet1!$E$5)</f>
        <v>1.2999999999999999E-3</v>
      </c>
      <c r="L38">
        <f t="shared" si="0"/>
        <v>0</v>
      </c>
      <c r="M38">
        <f>IF(E38="Paper",Sheet1!$E$6,Sheet1!$E$2)</f>
        <v>9.7499999999999996E-4</v>
      </c>
      <c r="N38">
        <f t="shared" si="1"/>
        <v>0</v>
      </c>
      <c r="O38">
        <f>IF(E38="Paper",Sheet1!$E$7,Sheet1!$E$3)</f>
        <v>5.0000000000000001E-3</v>
      </c>
      <c r="P38">
        <f t="shared" si="2"/>
        <v>0</v>
      </c>
      <c r="Q38">
        <f>IF(E38="Paper",Sheet1!$E$8,Sheet1!$E$4)</f>
        <v>2.5000000000000001E-3</v>
      </c>
      <c r="R38">
        <f t="shared" si="3"/>
        <v>0</v>
      </c>
    </row>
    <row r="39" spans="1:18" x14ac:dyDescent="0.3">
      <c r="A39" t="s">
        <v>113</v>
      </c>
      <c r="B39" t="s">
        <v>114</v>
      </c>
      <c r="C39">
        <v>22.571265499999999</v>
      </c>
      <c r="D39">
        <v>88.3458665</v>
      </c>
      <c r="E39" t="s">
        <v>15</v>
      </c>
      <c r="G39" t="s">
        <v>97</v>
      </c>
      <c r="H39" t="s">
        <v>60</v>
      </c>
      <c r="I39" t="s">
        <v>18</v>
      </c>
      <c r="J39">
        <v>0</v>
      </c>
      <c r="K39">
        <f>IF(E39="Paper",Sheet1!$E$9,Sheet1!$E$5)</f>
        <v>1.8900000000000001E-4</v>
      </c>
      <c r="L39">
        <f t="shared" si="0"/>
        <v>0</v>
      </c>
      <c r="M39">
        <f>IF(E39="Paper",Sheet1!$E$6,Sheet1!$E$2)</f>
        <v>1.2285E-4</v>
      </c>
      <c r="N39">
        <f t="shared" si="1"/>
        <v>0</v>
      </c>
      <c r="O39">
        <f>IF(E39="Paper",Sheet1!$E$7,Sheet1!$E$3)</f>
        <v>4.2999999999999999E-4</v>
      </c>
      <c r="P39">
        <f t="shared" si="2"/>
        <v>0</v>
      </c>
      <c r="Q39">
        <f>IF(E39="Paper",Sheet1!$E$8,Sheet1!$E$4)</f>
        <v>5.2999999999999998E-4</v>
      </c>
      <c r="R39">
        <f t="shared" si="3"/>
        <v>0</v>
      </c>
    </row>
    <row r="40" spans="1:18" x14ac:dyDescent="0.3">
      <c r="A40" t="s">
        <v>115</v>
      </c>
      <c r="B40" t="s">
        <v>116</v>
      </c>
      <c r="C40">
        <v>23.048513799999998</v>
      </c>
      <c r="D40">
        <v>88.282610300000002</v>
      </c>
      <c r="E40" t="s">
        <v>117</v>
      </c>
      <c r="G40" t="s">
        <v>112</v>
      </c>
      <c r="H40" t="s">
        <v>60</v>
      </c>
      <c r="I40" t="s">
        <v>18</v>
      </c>
      <c r="J40">
        <v>0</v>
      </c>
      <c r="K40">
        <f>IF(E40="Paper",Sheet1!$E$9,Sheet1!$E$5)</f>
        <v>1.2999999999999999E-3</v>
      </c>
      <c r="L40">
        <f t="shared" si="0"/>
        <v>0</v>
      </c>
      <c r="M40">
        <f>IF(E40="Paper",Sheet1!$E$6,Sheet1!$E$2)</f>
        <v>9.7499999999999996E-4</v>
      </c>
      <c r="N40">
        <f t="shared" si="1"/>
        <v>0</v>
      </c>
      <c r="O40">
        <f>IF(E40="Paper",Sheet1!$E$7,Sheet1!$E$3)</f>
        <v>5.0000000000000001E-3</v>
      </c>
      <c r="P40">
        <f t="shared" si="2"/>
        <v>0</v>
      </c>
      <c r="Q40">
        <f>IF(E40="Paper",Sheet1!$E$8,Sheet1!$E$4)</f>
        <v>2.5000000000000001E-3</v>
      </c>
      <c r="R40">
        <f t="shared" si="3"/>
        <v>0</v>
      </c>
    </row>
    <row r="41" spans="1:18" x14ac:dyDescent="0.3">
      <c r="A41" t="s">
        <v>118</v>
      </c>
      <c r="B41" t="s">
        <v>119</v>
      </c>
      <c r="C41">
        <v>30.343621200000001</v>
      </c>
      <c r="D41">
        <v>76.871015099999994</v>
      </c>
      <c r="E41" t="s">
        <v>15</v>
      </c>
      <c r="G41" t="s">
        <v>120</v>
      </c>
      <c r="H41" t="s">
        <v>60</v>
      </c>
      <c r="I41" t="s">
        <v>18</v>
      </c>
      <c r="J41">
        <v>0</v>
      </c>
      <c r="K41">
        <f>IF(E41="Paper",Sheet1!$E$9,Sheet1!$E$5)</f>
        <v>1.8900000000000001E-4</v>
      </c>
      <c r="L41">
        <f t="shared" si="0"/>
        <v>0</v>
      </c>
      <c r="M41">
        <f>IF(E41="Paper",Sheet1!$E$6,Sheet1!$E$2)</f>
        <v>1.2285E-4</v>
      </c>
      <c r="N41">
        <f t="shared" si="1"/>
        <v>0</v>
      </c>
      <c r="O41">
        <f>IF(E41="Paper",Sheet1!$E$7,Sheet1!$E$3)</f>
        <v>4.2999999999999999E-4</v>
      </c>
      <c r="P41">
        <f t="shared" si="2"/>
        <v>0</v>
      </c>
      <c r="Q41">
        <f>IF(E41="Paper",Sheet1!$E$8,Sheet1!$E$4)</f>
        <v>5.2999999999999998E-4</v>
      </c>
      <c r="R41">
        <f t="shared" si="3"/>
        <v>0</v>
      </c>
    </row>
    <row r="42" spans="1:18" x14ac:dyDescent="0.3">
      <c r="A42" t="s">
        <v>121</v>
      </c>
      <c r="B42" t="s">
        <v>122</v>
      </c>
      <c r="C42">
        <v>23.3675867</v>
      </c>
      <c r="D42">
        <v>87.898118800000006</v>
      </c>
      <c r="E42" t="s">
        <v>15</v>
      </c>
      <c r="G42" t="s">
        <v>123</v>
      </c>
      <c r="H42" t="s">
        <v>60</v>
      </c>
      <c r="I42" t="s">
        <v>18</v>
      </c>
      <c r="J42">
        <v>0</v>
      </c>
      <c r="K42">
        <f>IF(E42="Paper",Sheet1!$E$9,Sheet1!$E$5)</f>
        <v>1.8900000000000001E-4</v>
      </c>
      <c r="L42">
        <f t="shared" si="0"/>
        <v>0</v>
      </c>
      <c r="M42">
        <f>IF(E42="Paper",Sheet1!$E$6,Sheet1!$E$2)</f>
        <v>1.2285E-4</v>
      </c>
      <c r="N42">
        <f t="shared" si="1"/>
        <v>0</v>
      </c>
      <c r="O42">
        <f>IF(E42="Paper",Sheet1!$E$7,Sheet1!$E$3)</f>
        <v>4.2999999999999999E-4</v>
      </c>
      <c r="P42">
        <f t="shared" si="2"/>
        <v>0</v>
      </c>
      <c r="Q42">
        <f>IF(E42="Paper",Sheet1!$E$8,Sheet1!$E$4)</f>
        <v>5.2999999999999998E-4</v>
      </c>
      <c r="R42">
        <f t="shared" si="3"/>
        <v>0</v>
      </c>
    </row>
    <row r="43" spans="1:18" x14ac:dyDescent="0.3">
      <c r="A43" t="s">
        <v>124</v>
      </c>
      <c r="B43" t="s">
        <v>125</v>
      </c>
      <c r="C43">
        <v>22.4737841</v>
      </c>
      <c r="D43">
        <v>88.018735000000007</v>
      </c>
      <c r="E43" t="s">
        <v>36</v>
      </c>
      <c r="G43" t="s">
        <v>126</v>
      </c>
      <c r="H43" t="s">
        <v>60</v>
      </c>
      <c r="I43" t="s">
        <v>18</v>
      </c>
      <c r="J43">
        <v>0</v>
      </c>
      <c r="K43">
        <f>IF(E43="Paper",Sheet1!$E$9,Sheet1!$E$5)</f>
        <v>1.2999999999999999E-3</v>
      </c>
      <c r="L43">
        <f t="shared" si="0"/>
        <v>0</v>
      </c>
      <c r="M43">
        <f>IF(E43="Paper",Sheet1!$E$6,Sheet1!$E$2)</f>
        <v>9.7499999999999996E-4</v>
      </c>
      <c r="N43">
        <f t="shared" si="1"/>
        <v>0</v>
      </c>
      <c r="O43">
        <f>IF(E43="Paper",Sheet1!$E$7,Sheet1!$E$3)</f>
        <v>5.0000000000000001E-3</v>
      </c>
      <c r="P43">
        <f t="shared" si="2"/>
        <v>0</v>
      </c>
      <c r="Q43">
        <f>IF(E43="Paper",Sheet1!$E$8,Sheet1!$E$4)</f>
        <v>2.5000000000000001E-3</v>
      </c>
      <c r="R43">
        <f t="shared" si="3"/>
        <v>0</v>
      </c>
    </row>
    <row r="44" spans="1:18" x14ac:dyDescent="0.3">
      <c r="A44" t="s">
        <v>127</v>
      </c>
      <c r="B44" t="s">
        <v>128</v>
      </c>
      <c r="C44">
        <v>30.875488799999999</v>
      </c>
      <c r="D44">
        <v>75.888815199999996</v>
      </c>
      <c r="E44" t="s">
        <v>15</v>
      </c>
      <c r="G44" t="s">
        <v>59</v>
      </c>
      <c r="H44" t="s">
        <v>60</v>
      </c>
      <c r="I44" t="s">
        <v>18</v>
      </c>
      <c r="J44">
        <v>0</v>
      </c>
      <c r="K44">
        <f>IF(E44="Paper",Sheet1!$E$9,Sheet1!$E$5)</f>
        <v>1.8900000000000001E-4</v>
      </c>
      <c r="L44">
        <f t="shared" si="0"/>
        <v>0</v>
      </c>
      <c r="M44">
        <f>IF(E44="Paper",Sheet1!$E$6,Sheet1!$E$2)</f>
        <v>1.2285E-4</v>
      </c>
      <c r="N44">
        <f t="shared" si="1"/>
        <v>0</v>
      </c>
      <c r="O44">
        <f>IF(E44="Paper",Sheet1!$E$7,Sheet1!$E$3)</f>
        <v>4.2999999999999999E-4</v>
      </c>
      <c r="P44">
        <f t="shared" si="2"/>
        <v>0</v>
      </c>
      <c r="Q44">
        <f>IF(E44="Paper",Sheet1!$E$8,Sheet1!$E$4)</f>
        <v>5.2999999999999998E-4</v>
      </c>
      <c r="R44">
        <f t="shared" si="3"/>
        <v>0</v>
      </c>
    </row>
    <row r="45" spans="1:18" x14ac:dyDescent="0.3">
      <c r="A45" t="s">
        <v>129</v>
      </c>
      <c r="B45" t="s">
        <v>130</v>
      </c>
      <c r="C45">
        <v>31.928075700000001</v>
      </c>
      <c r="D45">
        <v>75.628810099999995</v>
      </c>
      <c r="E45" t="s">
        <v>15</v>
      </c>
      <c r="G45" t="s">
        <v>131</v>
      </c>
      <c r="H45" t="s">
        <v>60</v>
      </c>
      <c r="I45" t="s">
        <v>18</v>
      </c>
      <c r="J45">
        <v>0</v>
      </c>
      <c r="K45">
        <f>IF(E45="Paper",Sheet1!$E$9,Sheet1!$E$5)</f>
        <v>1.8900000000000001E-4</v>
      </c>
      <c r="L45">
        <f t="shared" si="0"/>
        <v>0</v>
      </c>
      <c r="M45">
        <f>IF(E45="Paper",Sheet1!$E$6,Sheet1!$E$2)</f>
        <v>1.2285E-4</v>
      </c>
      <c r="N45">
        <f t="shared" si="1"/>
        <v>0</v>
      </c>
      <c r="O45">
        <f>IF(E45="Paper",Sheet1!$E$7,Sheet1!$E$3)</f>
        <v>4.2999999999999999E-4</v>
      </c>
      <c r="P45">
        <f t="shared" si="2"/>
        <v>0</v>
      </c>
      <c r="Q45">
        <f>IF(E45="Paper",Sheet1!$E$8,Sheet1!$E$4)</f>
        <v>5.2999999999999998E-4</v>
      </c>
      <c r="R45">
        <f t="shared" si="3"/>
        <v>0</v>
      </c>
    </row>
    <row r="46" spans="1:18" x14ac:dyDescent="0.3">
      <c r="A46" t="s">
        <v>132</v>
      </c>
      <c r="B46" t="s">
        <v>133</v>
      </c>
      <c r="C46">
        <v>28.7467243</v>
      </c>
      <c r="D46">
        <v>77.151755899999998</v>
      </c>
      <c r="E46" t="s">
        <v>15</v>
      </c>
      <c r="G46" t="s">
        <v>134</v>
      </c>
      <c r="H46" t="s">
        <v>60</v>
      </c>
      <c r="I46" t="s">
        <v>18</v>
      </c>
      <c r="J46">
        <v>0</v>
      </c>
      <c r="K46">
        <f>IF(E46="Paper",Sheet1!$E$9,Sheet1!$E$5)</f>
        <v>1.8900000000000001E-4</v>
      </c>
      <c r="L46">
        <f t="shared" si="0"/>
        <v>0</v>
      </c>
      <c r="M46">
        <f>IF(E46="Paper",Sheet1!$E$6,Sheet1!$E$2)</f>
        <v>1.2285E-4</v>
      </c>
      <c r="N46">
        <f t="shared" si="1"/>
        <v>0</v>
      </c>
      <c r="O46">
        <f>IF(E46="Paper",Sheet1!$E$7,Sheet1!$E$3)</f>
        <v>4.2999999999999999E-4</v>
      </c>
      <c r="P46">
        <f t="shared" si="2"/>
        <v>0</v>
      </c>
      <c r="Q46">
        <f>IF(E46="Paper",Sheet1!$E$8,Sheet1!$E$4)</f>
        <v>5.2999999999999998E-4</v>
      </c>
      <c r="R46">
        <f t="shared" si="3"/>
        <v>0</v>
      </c>
    </row>
    <row r="47" spans="1:18" x14ac:dyDescent="0.3">
      <c r="A47" t="s">
        <v>135</v>
      </c>
      <c r="B47" t="s">
        <v>136</v>
      </c>
      <c r="C47">
        <v>22.570999</v>
      </c>
      <c r="D47">
        <v>88.351671100000004</v>
      </c>
      <c r="E47" t="s">
        <v>15</v>
      </c>
      <c r="G47" t="s">
        <v>97</v>
      </c>
      <c r="H47" t="s">
        <v>60</v>
      </c>
      <c r="I47" t="s">
        <v>18</v>
      </c>
      <c r="J47">
        <v>0</v>
      </c>
      <c r="K47">
        <f>IF(E47="Paper",Sheet1!$E$9,Sheet1!$E$5)</f>
        <v>1.8900000000000001E-4</v>
      </c>
      <c r="L47">
        <f t="shared" si="0"/>
        <v>0</v>
      </c>
      <c r="M47">
        <f>IF(E47="Paper",Sheet1!$E$6,Sheet1!$E$2)</f>
        <v>1.2285E-4</v>
      </c>
      <c r="N47">
        <f t="shared" si="1"/>
        <v>0</v>
      </c>
      <c r="O47">
        <f>IF(E47="Paper",Sheet1!$E$7,Sheet1!$E$3)</f>
        <v>4.2999999999999999E-4</v>
      </c>
      <c r="P47">
        <f t="shared" si="2"/>
        <v>0</v>
      </c>
      <c r="Q47">
        <f>IF(E47="Paper",Sheet1!$E$8,Sheet1!$E$4)</f>
        <v>5.2999999999999998E-4</v>
      </c>
      <c r="R47">
        <f t="shared" si="3"/>
        <v>0</v>
      </c>
    </row>
    <row r="48" spans="1:18" x14ac:dyDescent="0.3">
      <c r="A48" t="s">
        <v>137</v>
      </c>
      <c r="B48" t="s">
        <v>138</v>
      </c>
      <c r="C48">
        <v>30.729922299999998</v>
      </c>
      <c r="D48">
        <v>76.800619100000006</v>
      </c>
      <c r="E48" t="s">
        <v>15</v>
      </c>
      <c r="G48" t="s">
        <v>112</v>
      </c>
      <c r="H48" t="s">
        <v>60</v>
      </c>
      <c r="I48" t="s">
        <v>18</v>
      </c>
      <c r="J48">
        <v>0</v>
      </c>
      <c r="K48">
        <f>IF(E48="Paper",Sheet1!$E$9,Sheet1!$E$5)</f>
        <v>1.8900000000000001E-4</v>
      </c>
      <c r="L48">
        <f t="shared" si="0"/>
        <v>0</v>
      </c>
      <c r="M48">
        <f>IF(E48="Paper",Sheet1!$E$6,Sheet1!$E$2)</f>
        <v>1.2285E-4</v>
      </c>
      <c r="N48">
        <f t="shared" si="1"/>
        <v>0</v>
      </c>
      <c r="O48">
        <f>IF(E48="Paper",Sheet1!$E$7,Sheet1!$E$3)</f>
        <v>4.2999999999999999E-4</v>
      </c>
      <c r="P48">
        <f t="shared" si="2"/>
        <v>0</v>
      </c>
      <c r="Q48">
        <f>IF(E48="Paper",Sheet1!$E$8,Sheet1!$E$4)</f>
        <v>5.2999999999999998E-4</v>
      </c>
      <c r="R48">
        <f t="shared" si="3"/>
        <v>0</v>
      </c>
    </row>
    <row r="49" spans="1:18" x14ac:dyDescent="0.3">
      <c r="A49" t="s">
        <v>139</v>
      </c>
      <c r="B49" t="s">
        <v>140</v>
      </c>
      <c r="C49">
        <v>30.728380099999999</v>
      </c>
      <c r="D49">
        <v>76.770672899999994</v>
      </c>
      <c r="E49" t="s">
        <v>15</v>
      </c>
      <c r="G49" t="s">
        <v>112</v>
      </c>
      <c r="H49" t="s">
        <v>60</v>
      </c>
      <c r="I49" t="s">
        <v>18</v>
      </c>
      <c r="J49">
        <v>0</v>
      </c>
      <c r="K49">
        <f>IF(E49="Paper",Sheet1!$E$9,Sheet1!$E$5)</f>
        <v>1.8900000000000001E-4</v>
      </c>
      <c r="L49">
        <f t="shared" si="0"/>
        <v>0</v>
      </c>
      <c r="M49">
        <f>IF(E49="Paper",Sheet1!$E$6,Sheet1!$E$2)</f>
        <v>1.2285E-4</v>
      </c>
      <c r="N49">
        <f t="shared" si="1"/>
        <v>0</v>
      </c>
      <c r="O49">
        <f>IF(E49="Paper",Sheet1!$E$7,Sheet1!$E$3)</f>
        <v>4.2999999999999999E-4</v>
      </c>
      <c r="P49">
        <f t="shared" si="2"/>
        <v>0</v>
      </c>
      <c r="Q49">
        <f>IF(E49="Paper",Sheet1!$E$8,Sheet1!$E$4)</f>
        <v>5.2999999999999998E-4</v>
      </c>
      <c r="R49">
        <f t="shared" si="3"/>
        <v>0</v>
      </c>
    </row>
    <row r="50" spans="1:18" x14ac:dyDescent="0.3">
      <c r="A50" t="s">
        <v>141</v>
      </c>
      <c r="B50" t="s">
        <v>142</v>
      </c>
      <c r="C50">
        <v>31.0165902</v>
      </c>
      <c r="D50">
        <v>76.386879699999994</v>
      </c>
      <c r="E50" t="s">
        <v>15</v>
      </c>
      <c r="G50" t="s">
        <v>143</v>
      </c>
      <c r="H50" t="s">
        <v>60</v>
      </c>
      <c r="I50" t="s">
        <v>18</v>
      </c>
      <c r="J50">
        <v>0</v>
      </c>
      <c r="K50">
        <f>IF(E50="Paper",Sheet1!$E$9,Sheet1!$E$5)</f>
        <v>1.8900000000000001E-4</v>
      </c>
      <c r="L50">
        <f t="shared" si="0"/>
        <v>0</v>
      </c>
      <c r="M50">
        <f>IF(E50="Paper",Sheet1!$E$6,Sheet1!$E$2)</f>
        <v>1.2285E-4</v>
      </c>
      <c r="N50">
        <f t="shared" si="1"/>
        <v>0</v>
      </c>
      <c r="O50">
        <f>IF(E50="Paper",Sheet1!$E$7,Sheet1!$E$3)</f>
        <v>4.2999999999999999E-4</v>
      </c>
      <c r="P50">
        <f t="shared" si="2"/>
        <v>0</v>
      </c>
      <c r="Q50">
        <f>IF(E50="Paper",Sheet1!$E$8,Sheet1!$E$4)</f>
        <v>5.2999999999999998E-4</v>
      </c>
      <c r="R50">
        <f t="shared" si="3"/>
        <v>0</v>
      </c>
    </row>
    <row r="51" spans="1:18" x14ac:dyDescent="0.3">
      <c r="A51" t="s">
        <v>144</v>
      </c>
      <c r="B51" t="s">
        <v>145</v>
      </c>
      <c r="C51">
        <v>28.632377999999999</v>
      </c>
      <c r="D51">
        <v>77.240999400000007</v>
      </c>
      <c r="E51" t="s">
        <v>15</v>
      </c>
      <c r="G51" t="s">
        <v>94</v>
      </c>
      <c r="H51" t="s">
        <v>60</v>
      </c>
      <c r="I51" t="s">
        <v>18</v>
      </c>
      <c r="J51">
        <v>0</v>
      </c>
      <c r="K51">
        <f>IF(E51="Paper",Sheet1!$E$9,Sheet1!$E$5)</f>
        <v>1.8900000000000001E-4</v>
      </c>
      <c r="L51">
        <f t="shared" si="0"/>
        <v>0</v>
      </c>
      <c r="M51">
        <f>IF(E51="Paper",Sheet1!$E$6,Sheet1!$E$2)</f>
        <v>1.2285E-4</v>
      </c>
      <c r="N51">
        <f t="shared" si="1"/>
        <v>0</v>
      </c>
      <c r="O51">
        <f>IF(E51="Paper",Sheet1!$E$7,Sheet1!$E$3)</f>
        <v>4.2999999999999999E-4</v>
      </c>
      <c r="P51">
        <f t="shared" si="2"/>
        <v>0</v>
      </c>
      <c r="Q51">
        <f>IF(E51="Paper",Sheet1!$E$8,Sheet1!$E$4)</f>
        <v>5.2999999999999998E-4</v>
      </c>
      <c r="R51">
        <f t="shared" si="3"/>
        <v>0</v>
      </c>
    </row>
    <row r="52" spans="1:18" x14ac:dyDescent="0.3">
      <c r="A52" t="s">
        <v>146</v>
      </c>
      <c r="B52" t="s">
        <v>147</v>
      </c>
      <c r="C52">
        <v>30.585518499999999</v>
      </c>
      <c r="D52">
        <v>76.8749787</v>
      </c>
      <c r="E52" t="s">
        <v>15</v>
      </c>
      <c r="G52" t="s">
        <v>148</v>
      </c>
      <c r="H52" t="s">
        <v>60</v>
      </c>
      <c r="I52" t="s">
        <v>18</v>
      </c>
      <c r="J52">
        <v>0</v>
      </c>
      <c r="K52">
        <f>IF(E52="Paper",Sheet1!$E$9,Sheet1!$E$5)</f>
        <v>1.8900000000000001E-4</v>
      </c>
      <c r="L52">
        <f t="shared" si="0"/>
        <v>0</v>
      </c>
      <c r="M52">
        <f>IF(E52="Paper",Sheet1!$E$6,Sheet1!$E$2)</f>
        <v>1.2285E-4</v>
      </c>
      <c r="N52">
        <f t="shared" si="1"/>
        <v>0</v>
      </c>
      <c r="O52">
        <f>IF(E52="Paper",Sheet1!$E$7,Sheet1!$E$3)</f>
        <v>4.2999999999999999E-4</v>
      </c>
      <c r="P52">
        <f t="shared" si="2"/>
        <v>0</v>
      </c>
      <c r="Q52">
        <f>IF(E52="Paper",Sheet1!$E$8,Sheet1!$E$4)</f>
        <v>5.2999999999999998E-4</v>
      </c>
      <c r="R52">
        <f t="shared" si="3"/>
        <v>0</v>
      </c>
    </row>
    <row r="53" spans="1:18" x14ac:dyDescent="0.3">
      <c r="A53" t="s">
        <v>149</v>
      </c>
      <c r="B53" t="s">
        <v>150</v>
      </c>
      <c r="C53">
        <v>29.502208299999999</v>
      </c>
      <c r="D53">
        <v>78.204975899999994</v>
      </c>
      <c r="E53" t="s">
        <v>36</v>
      </c>
      <c r="G53" t="s">
        <v>151</v>
      </c>
      <c r="H53" t="s">
        <v>60</v>
      </c>
      <c r="I53" t="s">
        <v>18</v>
      </c>
      <c r="J53">
        <v>0</v>
      </c>
      <c r="K53">
        <f>IF(E53="Paper",Sheet1!$E$9,Sheet1!$E$5)</f>
        <v>1.2999999999999999E-3</v>
      </c>
      <c r="L53">
        <f t="shared" si="0"/>
        <v>0</v>
      </c>
      <c r="M53">
        <f>IF(E53="Paper",Sheet1!$E$6,Sheet1!$E$2)</f>
        <v>9.7499999999999996E-4</v>
      </c>
      <c r="N53">
        <f t="shared" si="1"/>
        <v>0</v>
      </c>
      <c r="O53">
        <f>IF(E53="Paper",Sheet1!$E$7,Sheet1!$E$3)</f>
        <v>5.0000000000000001E-3</v>
      </c>
      <c r="P53">
        <f t="shared" si="2"/>
        <v>0</v>
      </c>
      <c r="Q53">
        <f>IF(E53="Paper",Sheet1!$E$8,Sheet1!$E$4)</f>
        <v>2.5000000000000001E-3</v>
      </c>
      <c r="R53">
        <f t="shared" si="3"/>
        <v>0</v>
      </c>
    </row>
    <row r="54" spans="1:18" x14ac:dyDescent="0.3">
      <c r="A54" t="s">
        <v>152</v>
      </c>
      <c r="B54" t="s">
        <v>153</v>
      </c>
      <c r="C54">
        <v>28.562337100000001</v>
      </c>
      <c r="D54">
        <v>77.213262099999994</v>
      </c>
      <c r="E54" t="s">
        <v>15</v>
      </c>
      <c r="G54" t="s">
        <v>94</v>
      </c>
      <c r="H54" t="s">
        <v>60</v>
      </c>
      <c r="I54" t="s">
        <v>18</v>
      </c>
      <c r="J54">
        <v>0</v>
      </c>
      <c r="K54">
        <f>IF(E54="Paper",Sheet1!$E$9,Sheet1!$E$5)</f>
        <v>1.8900000000000001E-4</v>
      </c>
      <c r="L54">
        <f t="shared" si="0"/>
        <v>0</v>
      </c>
      <c r="M54">
        <f>IF(E54="Paper",Sheet1!$E$6,Sheet1!$E$2)</f>
        <v>1.2285E-4</v>
      </c>
      <c r="N54">
        <f t="shared" si="1"/>
        <v>0</v>
      </c>
      <c r="O54">
        <f>IF(E54="Paper",Sheet1!$E$7,Sheet1!$E$3)</f>
        <v>4.2999999999999999E-4</v>
      </c>
      <c r="P54">
        <f t="shared" si="2"/>
        <v>0</v>
      </c>
      <c r="Q54">
        <f>IF(E54="Paper",Sheet1!$E$8,Sheet1!$E$4)</f>
        <v>5.2999999999999998E-4</v>
      </c>
      <c r="R54">
        <f t="shared" si="3"/>
        <v>0</v>
      </c>
    </row>
    <row r="55" spans="1:18" x14ac:dyDescent="0.3">
      <c r="A55" t="s">
        <v>154</v>
      </c>
      <c r="B55" t="s">
        <v>155</v>
      </c>
      <c r="C55">
        <v>28.795019</v>
      </c>
      <c r="D55">
        <v>77.044495999999995</v>
      </c>
      <c r="E55" t="s">
        <v>15</v>
      </c>
      <c r="G55" t="s">
        <v>94</v>
      </c>
      <c r="H55" t="s">
        <v>60</v>
      </c>
      <c r="I55" t="s">
        <v>18</v>
      </c>
      <c r="J55">
        <v>0</v>
      </c>
      <c r="K55">
        <f>IF(E55="Paper",Sheet1!$E$9,Sheet1!$E$5)</f>
        <v>1.8900000000000001E-4</v>
      </c>
      <c r="L55">
        <f t="shared" si="0"/>
        <v>0</v>
      </c>
      <c r="M55">
        <f>IF(E55="Paper",Sheet1!$E$6,Sheet1!$E$2)</f>
        <v>1.2285E-4</v>
      </c>
      <c r="N55">
        <f t="shared" si="1"/>
        <v>0</v>
      </c>
      <c r="O55">
        <f>IF(E55="Paper",Sheet1!$E$7,Sheet1!$E$3)</f>
        <v>4.2999999999999999E-4</v>
      </c>
      <c r="P55">
        <f t="shared" si="2"/>
        <v>0</v>
      </c>
      <c r="Q55">
        <f>IF(E55="Paper",Sheet1!$E$8,Sheet1!$E$4)</f>
        <v>5.2999999999999998E-4</v>
      </c>
      <c r="R55">
        <f t="shared" si="3"/>
        <v>0</v>
      </c>
    </row>
    <row r="56" spans="1:18" x14ac:dyDescent="0.3">
      <c r="A56" t="s">
        <v>156</v>
      </c>
      <c r="B56" t="s">
        <v>157</v>
      </c>
      <c r="C56">
        <v>29.105815199999999</v>
      </c>
      <c r="D56">
        <v>77.919515599999997</v>
      </c>
      <c r="E56" t="s">
        <v>15</v>
      </c>
      <c r="G56" t="s">
        <v>158</v>
      </c>
      <c r="H56" t="s">
        <v>60</v>
      </c>
      <c r="I56" t="s">
        <v>18</v>
      </c>
      <c r="J56">
        <v>0</v>
      </c>
      <c r="K56">
        <f>IF(E56="Paper",Sheet1!$E$9,Sheet1!$E$5)</f>
        <v>1.8900000000000001E-4</v>
      </c>
      <c r="L56">
        <f t="shared" si="0"/>
        <v>0</v>
      </c>
      <c r="M56">
        <f>IF(E56="Paper",Sheet1!$E$6,Sheet1!$E$2)</f>
        <v>1.2285E-4</v>
      </c>
      <c r="N56">
        <f t="shared" si="1"/>
        <v>0</v>
      </c>
      <c r="O56">
        <f>IF(E56="Paper",Sheet1!$E$7,Sheet1!$E$3)</f>
        <v>4.2999999999999999E-4</v>
      </c>
      <c r="P56">
        <f t="shared" si="2"/>
        <v>0</v>
      </c>
      <c r="Q56">
        <f>IF(E56="Paper",Sheet1!$E$8,Sheet1!$E$4)</f>
        <v>5.2999999999999998E-4</v>
      </c>
      <c r="R56">
        <f t="shared" si="3"/>
        <v>0</v>
      </c>
    </row>
    <row r="57" spans="1:18" x14ac:dyDescent="0.3">
      <c r="A57" t="s">
        <v>159</v>
      </c>
      <c r="B57" t="s">
        <v>160</v>
      </c>
      <c r="C57">
        <v>29.521828500000002</v>
      </c>
      <c r="D57">
        <v>77.712598</v>
      </c>
      <c r="E57" t="s">
        <v>15</v>
      </c>
      <c r="G57" t="s">
        <v>134</v>
      </c>
      <c r="H57" t="s">
        <v>60</v>
      </c>
      <c r="I57" t="s">
        <v>18</v>
      </c>
      <c r="J57">
        <v>0</v>
      </c>
      <c r="K57">
        <f>IF(E57="Paper",Sheet1!$E$9,Sheet1!$E$5)</f>
        <v>1.8900000000000001E-4</v>
      </c>
      <c r="L57">
        <f t="shared" si="0"/>
        <v>0</v>
      </c>
      <c r="M57">
        <f>IF(E57="Paper",Sheet1!$E$6,Sheet1!$E$2)</f>
        <v>1.2285E-4</v>
      </c>
      <c r="N57">
        <f t="shared" si="1"/>
        <v>0</v>
      </c>
      <c r="O57">
        <f>IF(E57="Paper",Sheet1!$E$7,Sheet1!$E$3)</f>
        <v>4.2999999999999999E-4</v>
      </c>
      <c r="P57">
        <f t="shared" si="2"/>
        <v>0</v>
      </c>
      <c r="Q57">
        <f>IF(E57="Paper",Sheet1!$E$8,Sheet1!$E$4)</f>
        <v>5.2999999999999998E-4</v>
      </c>
      <c r="R57">
        <f t="shared" si="3"/>
        <v>0</v>
      </c>
    </row>
    <row r="58" spans="1:18" x14ac:dyDescent="0.3">
      <c r="A58" t="s">
        <v>161</v>
      </c>
      <c r="B58" t="s">
        <v>162</v>
      </c>
      <c r="C58">
        <v>28.8381644</v>
      </c>
      <c r="D58">
        <v>78.242181200000005</v>
      </c>
      <c r="E58" t="s">
        <v>15</v>
      </c>
      <c r="G58" t="s">
        <v>163</v>
      </c>
      <c r="H58" t="s">
        <v>60</v>
      </c>
      <c r="I58" t="s">
        <v>18</v>
      </c>
      <c r="J58">
        <v>0</v>
      </c>
      <c r="K58">
        <f>IF(E58="Paper",Sheet1!$E$9,Sheet1!$E$5)</f>
        <v>1.8900000000000001E-4</v>
      </c>
      <c r="L58">
        <f t="shared" si="0"/>
        <v>0</v>
      </c>
      <c r="M58">
        <f>IF(E58="Paper",Sheet1!$E$6,Sheet1!$E$2)</f>
        <v>1.2285E-4</v>
      </c>
      <c r="N58">
        <f t="shared" si="1"/>
        <v>0</v>
      </c>
      <c r="O58">
        <f>IF(E58="Paper",Sheet1!$E$7,Sheet1!$E$3)</f>
        <v>4.2999999999999999E-4</v>
      </c>
      <c r="P58">
        <f t="shared" si="2"/>
        <v>0</v>
      </c>
      <c r="Q58">
        <f>IF(E58="Paper",Sheet1!$E$8,Sheet1!$E$4)</f>
        <v>5.2999999999999998E-4</v>
      </c>
      <c r="R58">
        <f t="shared" si="3"/>
        <v>0</v>
      </c>
    </row>
    <row r="59" spans="1:18" x14ac:dyDescent="0.3">
      <c r="A59" t="s">
        <v>164</v>
      </c>
      <c r="B59" t="s">
        <v>165</v>
      </c>
      <c r="C59">
        <v>28.7125187</v>
      </c>
      <c r="D59">
        <v>77.173094399999997</v>
      </c>
      <c r="E59" t="s">
        <v>15</v>
      </c>
      <c r="G59" t="s">
        <v>94</v>
      </c>
      <c r="H59" t="s">
        <v>60</v>
      </c>
      <c r="I59" t="s">
        <v>18</v>
      </c>
      <c r="J59">
        <v>0</v>
      </c>
      <c r="K59">
        <f>IF(E59="Paper",Sheet1!$E$9,Sheet1!$E$5)</f>
        <v>1.8900000000000001E-4</v>
      </c>
      <c r="L59">
        <f t="shared" si="0"/>
        <v>0</v>
      </c>
      <c r="M59">
        <f>IF(E59="Paper",Sheet1!$E$6,Sheet1!$E$2)</f>
        <v>1.2285E-4</v>
      </c>
      <c r="N59">
        <f t="shared" si="1"/>
        <v>0</v>
      </c>
      <c r="O59">
        <f>IF(E59="Paper",Sheet1!$E$7,Sheet1!$E$3)</f>
        <v>4.2999999999999999E-4</v>
      </c>
      <c r="P59">
        <f t="shared" si="2"/>
        <v>0</v>
      </c>
      <c r="Q59">
        <f>IF(E59="Paper",Sheet1!$E$8,Sheet1!$E$4)</f>
        <v>5.2999999999999998E-4</v>
      </c>
      <c r="R59">
        <f t="shared" si="3"/>
        <v>0</v>
      </c>
    </row>
    <row r="60" spans="1:18" x14ac:dyDescent="0.3">
      <c r="A60" t="s">
        <v>166</v>
      </c>
      <c r="B60" t="s">
        <v>167</v>
      </c>
      <c r="C60">
        <v>28.8386481</v>
      </c>
      <c r="D60">
        <v>78.773328599999999</v>
      </c>
      <c r="E60" t="s">
        <v>15</v>
      </c>
      <c r="G60" t="s">
        <v>163</v>
      </c>
      <c r="H60" t="s">
        <v>60</v>
      </c>
      <c r="I60" t="s">
        <v>18</v>
      </c>
      <c r="J60">
        <v>0</v>
      </c>
      <c r="K60">
        <f>IF(E60="Paper",Sheet1!$E$9,Sheet1!$E$5)</f>
        <v>1.8900000000000001E-4</v>
      </c>
      <c r="L60">
        <f t="shared" si="0"/>
        <v>0</v>
      </c>
      <c r="M60">
        <f>IF(E60="Paper",Sheet1!$E$6,Sheet1!$E$2)</f>
        <v>1.2285E-4</v>
      </c>
      <c r="N60">
        <f t="shared" si="1"/>
        <v>0</v>
      </c>
      <c r="O60">
        <f>IF(E60="Paper",Sheet1!$E$7,Sheet1!$E$3)</f>
        <v>4.2999999999999999E-4</v>
      </c>
      <c r="P60">
        <f t="shared" si="2"/>
        <v>0</v>
      </c>
      <c r="Q60">
        <f>IF(E60="Paper",Sheet1!$E$8,Sheet1!$E$4)</f>
        <v>5.2999999999999998E-4</v>
      </c>
      <c r="R60">
        <f t="shared" si="3"/>
        <v>0</v>
      </c>
    </row>
    <row r="61" spans="1:18" x14ac:dyDescent="0.3">
      <c r="A61" t="s">
        <v>168</v>
      </c>
      <c r="B61" t="s">
        <v>169</v>
      </c>
      <c r="C61">
        <v>25.460191699999999</v>
      </c>
      <c r="D61">
        <v>81.845477900000006</v>
      </c>
      <c r="E61" t="s">
        <v>15</v>
      </c>
      <c r="G61" t="s">
        <v>73</v>
      </c>
      <c r="H61" t="s">
        <v>60</v>
      </c>
      <c r="I61" t="s">
        <v>18</v>
      </c>
      <c r="J61">
        <v>0</v>
      </c>
      <c r="K61">
        <f>IF(E61="Paper",Sheet1!$E$9,Sheet1!$E$5)</f>
        <v>1.8900000000000001E-4</v>
      </c>
      <c r="L61">
        <f t="shared" si="0"/>
        <v>0</v>
      </c>
      <c r="M61">
        <f>IF(E61="Paper",Sheet1!$E$6,Sheet1!$E$2)</f>
        <v>1.2285E-4</v>
      </c>
      <c r="N61">
        <f t="shared" si="1"/>
        <v>0</v>
      </c>
      <c r="O61">
        <f>IF(E61="Paper",Sheet1!$E$7,Sheet1!$E$3)</f>
        <v>4.2999999999999999E-4</v>
      </c>
      <c r="P61">
        <f t="shared" si="2"/>
        <v>0</v>
      </c>
      <c r="Q61">
        <f>IF(E61="Paper",Sheet1!$E$8,Sheet1!$E$4)</f>
        <v>5.2999999999999998E-4</v>
      </c>
      <c r="R61">
        <f t="shared" si="3"/>
        <v>0</v>
      </c>
    </row>
    <row r="62" spans="1:18" x14ac:dyDescent="0.3">
      <c r="A62" t="s">
        <v>170</v>
      </c>
      <c r="B62" t="s">
        <v>171</v>
      </c>
      <c r="C62">
        <v>26.221216500000001</v>
      </c>
      <c r="D62">
        <v>81.258952899999997</v>
      </c>
      <c r="E62" t="s">
        <v>15</v>
      </c>
      <c r="G62" t="s">
        <v>172</v>
      </c>
      <c r="H62" t="s">
        <v>60</v>
      </c>
      <c r="I62" t="s">
        <v>18</v>
      </c>
      <c r="J62">
        <v>0</v>
      </c>
      <c r="K62">
        <f>IF(E62="Paper",Sheet1!$E$9,Sheet1!$E$5)</f>
        <v>1.8900000000000001E-4</v>
      </c>
      <c r="L62">
        <f t="shared" si="0"/>
        <v>0</v>
      </c>
      <c r="M62">
        <f>IF(E62="Paper",Sheet1!$E$6,Sheet1!$E$2)</f>
        <v>1.2285E-4</v>
      </c>
      <c r="N62">
        <f t="shared" si="1"/>
        <v>0</v>
      </c>
      <c r="O62">
        <f>IF(E62="Paper",Sheet1!$E$7,Sheet1!$E$3)</f>
        <v>4.2999999999999999E-4</v>
      </c>
      <c r="P62">
        <f t="shared" si="2"/>
        <v>0</v>
      </c>
      <c r="Q62">
        <f>IF(E62="Paper",Sheet1!$E$8,Sheet1!$E$4)</f>
        <v>5.2999999999999998E-4</v>
      </c>
      <c r="R62">
        <f t="shared" si="3"/>
        <v>0</v>
      </c>
    </row>
    <row r="63" spans="1:18" x14ac:dyDescent="0.3">
      <c r="A63" t="s">
        <v>173</v>
      </c>
      <c r="B63" t="s">
        <v>174</v>
      </c>
      <c r="C63">
        <v>29.5139323</v>
      </c>
      <c r="D63">
        <v>75.036382700000004</v>
      </c>
      <c r="E63" t="s">
        <v>15</v>
      </c>
      <c r="G63" t="s">
        <v>175</v>
      </c>
      <c r="H63" t="s">
        <v>60</v>
      </c>
      <c r="I63" t="s">
        <v>18</v>
      </c>
      <c r="J63">
        <v>0</v>
      </c>
      <c r="K63">
        <f>IF(E63="Paper",Sheet1!$E$9,Sheet1!$E$5)</f>
        <v>1.8900000000000001E-4</v>
      </c>
      <c r="L63">
        <f t="shared" si="0"/>
        <v>0</v>
      </c>
      <c r="M63">
        <f>IF(E63="Paper",Sheet1!$E$6,Sheet1!$E$2)</f>
        <v>1.2285E-4</v>
      </c>
      <c r="N63">
        <f t="shared" si="1"/>
        <v>0</v>
      </c>
      <c r="O63">
        <f>IF(E63="Paper",Sheet1!$E$7,Sheet1!$E$3)</f>
        <v>4.2999999999999999E-4</v>
      </c>
      <c r="P63">
        <f t="shared" si="2"/>
        <v>0</v>
      </c>
      <c r="Q63">
        <f>IF(E63="Paper",Sheet1!$E$8,Sheet1!$E$4)</f>
        <v>5.2999999999999998E-4</v>
      </c>
      <c r="R63">
        <f t="shared" si="3"/>
        <v>0</v>
      </c>
    </row>
    <row r="64" spans="1:18" x14ac:dyDescent="0.3">
      <c r="A64" t="s">
        <v>176</v>
      </c>
      <c r="B64" t="s">
        <v>177</v>
      </c>
      <c r="C64">
        <v>28.644299799999999</v>
      </c>
      <c r="D64">
        <v>77.244240500000004</v>
      </c>
      <c r="E64" t="s">
        <v>36</v>
      </c>
      <c r="G64" t="s">
        <v>94</v>
      </c>
      <c r="H64" t="s">
        <v>60</v>
      </c>
      <c r="I64" t="s">
        <v>18</v>
      </c>
      <c r="J64">
        <v>0</v>
      </c>
      <c r="K64">
        <f>IF(E64="Paper",Sheet1!$E$9,Sheet1!$E$5)</f>
        <v>1.2999999999999999E-3</v>
      </c>
      <c r="L64">
        <f t="shared" si="0"/>
        <v>0</v>
      </c>
      <c r="M64">
        <f>IF(E64="Paper",Sheet1!$E$6,Sheet1!$E$2)</f>
        <v>9.7499999999999996E-4</v>
      </c>
      <c r="N64">
        <f t="shared" si="1"/>
        <v>0</v>
      </c>
      <c r="O64">
        <f>IF(E64="Paper",Sheet1!$E$7,Sheet1!$E$3)</f>
        <v>5.0000000000000001E-3</v>
      </c>
      <c r="P64">
        <f t="shared" si="2"/>
        <v>0</v>
      </c>
      <c r="Q64">
        <f>IF(E64="Paper",Sheet1!$E$8,Sheet1!$E$4)</f>
        <v>2.5000000000000001E-3</v>
      </c>
      <c r="R64">
        <f t="shared" si="3"/>
        <v>0</v>
      </c>
    </row>
    <row r="65" spans="1:18" x14ac:dyDescent="0.3">
      <c r="A65" t="s">
        <v>178</v>
      </c>
      <c r="B65" t="s">
        <v>179</v>
      </c>
      <c r="C65">
        <v>30.667842</v>
      </c>
      <c r="D65">
        <v>76.844194000000002</v>
      </c>
      <c r="E65" t="s">
        <v>15</v>
      </c>
      <c r="G65" t="s">
        <v>180</v>
      </c>
      <c r="H65" t="s">
        <v>60</v>
      </c>
      <c r="I65" t="s">
        <v>18</v>
      </c>
      <c r="J65">
        <v>0</v>
      </c>
      <c r="K65">
        <f>IF(E65="Paper",Sheet1!$E$9,Sheet1!$E$5)</f>
        <v>1.8900000000000001E-4</v>
      </c>
      <c r="L65">
        <f t="shared" si="0"/>
        <v>0</v>
      </c>
      <c r="M65">
        <f>IF(E65="Paper",Sheet1!$E$6,Sheet1!$E$2)</f>
        <v>1.2285E-4</v>
      </c>
      <c r="N65">
        <f t="shared" si="1"/>
        <v>0</v>
      </c>
      <c r="O65">
        <f>IF(E65="Paper",Sheet1!$E$7,Sheet1!$E$3)</f>
        <v>4.2999999999999999E-4</v>
      </c>
      <c r="P65">
        <f t="shared" si="2"/>
        <v>0</v>
      </c>
      <c r="Q65">
        <f>IF(E65="Paper",Sheet1!$E$8,Sheet1!$E$4)</f>
        <v>5.2999999999999998E-4</v>
      </c>
      <c r="R65">
        <f t="shared" si="3"/>
        <v>0</v>
      </c>
    </row>
    <row r="66" spans="1:18" x14ac:dyDescent="0.3">
      <c r="A66" t="s">
        <v>181</v>
      </c>
      <c r="B66" t="s">
        <v>182</v>
      </c>
      <c r="C66">
        <v>30.882045399999999</v>
      </c>
      <c r="D66">
        <v>75.949502100000004</v>
      </c>
      <c r="E66" t="s">
        <v>15</v>
      </c>
      <c r="G66" t="s">
        <v>59</v>
      </c>
      <c r="H66" t="s">
        <v>60</v>
      </c>
      <c r="I66" t="s">
        <v>18</v>
      </c>
      <c r="J66">
        <v>0</v>
      </c>
      <c r="K66">
        <f>IF(E66="Paper",Sheet1!$E$9,Sheet1!$E$5)</f>
        <v>1.8900000000000001E-4</v>
      </c>
      <c r="L66">
        <f t="shared" si="0"/>
        <v>0</v>
      </c>
      <c r="M66">
        <f>IF(E66="Paper",Sheet1!$E$6,Sheet1!$E$2)</f>
        <v>1.2285E-4</v>
      </c>
      <c r="N66">
        <f t="shared" si="1"/>
        <v>0</v>
      </c>
      <c r="O66">
        <f>IF(E66="Paper",Sheet1!$E$7,Sheet1!$E$3)</f>
        <v>4.2999999999999999E-4</v>
      </c>
      <c r="P66">
        <f t="shared" si="2"/>
        <v>0</v>
      </c>
      <c r="Q66">
        <f>IF(E66="Paper",Sheet1!$E$8,Sheet1!$E$4)</f>
        <v>5.2999999999999998E-4</v>
      </c>
      <c r="R66">
        <f t="shared" si="3"/>
        <v>0</v>
      </c>
    </row>
    <row r="67" spans="1:18" x14ac:dyDescent="0.3">
      <c r="A67" t="s">
        <v>183</v>
      </c>
      <c r="B67" t="s">
        <v>184</v>
      </c>
      <c r="C67">
        <v>31.030237</v>
      </c>
      <c r="D67">
        <v>76.462092799999994</v>
      </c>
      <c r="E67" t="s">
        <v>15</v>
      </c>
      <c r="G67" t="s">
        <v>143</v>
      </c>
      <c r="H67" t="s">
        <v>60</v>
      </c>
      <c r="I67" t="s">
        <v>18</v>
      </c>
      <c r="J67">
        <v>0</v>
      </c>
      <c r="K67">
        <f>IF(E67="Paper",Sheet1!$E$9,Sheet1!$E$5)</f>
        <v>1.8900000000000001E-4</v>
      </c>
      <c r="L67">
        <f t="shared" ref="L67:L105" si="4">J67*K67</f>
        <v>0</v>
      </c>
      <c r="M67">
        <f>IF(E67="Paper",Sheet1!$E$6,Sheet1!$E$2)</f>
        <v>1.2285E-4</v>
      </c>
      <c r="N67">
        <f t="shared" ref="N67:N105" si="5">M67*J67</f>
        <v>0</v>
      </c>
      <c r="O67">
        <f>IF(E67="Paper",Sheet1!$E$7,Sheet1!$E$3)</f>
        <v>4.2999999999999999E-4</v>
      </c>
      <c r="P67">
        <f t="shared" ref="P67:P105" si="6">O67*J67</f>
        <v>0</v>
      </c>
      <c r="Q67">
        <f>IF(E67="Paper",Sheet1!$E$8,Sheet1!$E$4)</f>
        <v>5.2999999999999998E-4</v>
      </c>
      <c r="R67">
        <f t="shared" ref="R67:R105" si="7">Q67*J67</f>
        <v>0</v>
      </c>
    </row>
    <row r="68" spans="1:18" x14ac:dyDescent="0.3">
      <c r="A68" t="s">
        <v>185</v>
      </c>
      <c r="B68" t="s">
        <v>186</v>
      </c>
      <c r="C68">
        <v>30.679561199999998</v>
      </c>
      <c r="D68">
        <v>75.824342700000003</v>
      </c>
      <c r="E68" t="s">
        <v>15</v>
      </c>
      <c r="G68" t="s">
        <v>187</v>
      </c>
      <c r="H68" t="s">
        <v>60</v>
      </c>
      <c r="I68" t="s">
        <v>18</v>
      </c>
      <c r="J68">
        <v>0</v>
      </c>
      <c r="K68">
        <f>IF(E68="Paper",Sheet1!$E$9,Sheet1!$E$5)</f>
        <v>1.8900000000000001E-4</v>
      </c>
      <c r="L68">
        <f t="shared" si="4"/>
        <v>0</v>
      </c>
      <c r="M68">
        <f>IF(E68="Paper",Sheet1!$E$6,Sheet1!$E$2)</f>
        <v>1.2285E-4</v>
      </c>
      <c r="N68">
        <f t="shared" si="5"/>
        <v>0</v>
      </c>
      <c r="O68">
        <f>IF(E68="Paper",Sheet1!$E$7,Sheet1!$E$3)</f>
        <v>4.2999999999999999E-4</v>
      </c>
      <c r="P68">
        <f t="shared" si="6"/>
        <v>0</v>
      </c>
      <c r="Q68">
        <f>IF(E68="Paper",Sheet1!$E$8,Sheet1!$E$4)</f>
        <v>5.2999999999999998E-4</v>
      </c>
      <c r="R68">
        <f t="shared" si="7"/>
        <v>0</v>
      </c>
    </row>
    <row r="69" spans="1:18" x14ac:dyDescent="0.3">
      <c r="A69" t="s">
        <v>188</v>
      </c>
      <c r="B69" t="s">
        <v>189</v>
      </c>
      <c r="C69">
        <v>29.5050113</v>
      </c>
      <c r="D69">
        <v>77.363774800000002</v>
      </c>
      <c r="E69" t="s">
        <v>15</v>
      </c>
      <c r="G69" t="s">
        <v>134</v>
      </c>
      <c r="H69" t="s">
        <v>60</v>
      </c>
      <c r="I69" t="s">
        <v>18</v>
      </c>
      <c r="J69">
        <v>0</v>
      </c>
      <c r="K69">
        <f>IF(E69="Paper",Sheet1!$E$9,Sheet1!$E$5)</f>
        <v>1.8900000000000001E-4</v>
      </c>
      <c r="L69">
        <f t="shared" si="4"/>
        <v>0</v>
      </c>
      <c r="M69">
        <f>IF(E69="Paper",Sheet1!$E$6,Sheet1!$E$2)</f>
        <v>1.2285E-4</v>
      </c>
      <c r="N69">
        <f t="shared" si="5"/>
        <v>0</v>
      </c>
      <c r="O69">
        <f>IF(E69="Paper",Sheet1!$E$7,Sheet1!$E$3)</f>
        <v>4.2999999999999999E-4</v>
      </c>
      <c r="P69">
        <f t="shared" si="6"/>
        <v>0</v>
      </c>
      <c r="Q69">
        <f>IF(E69="Paper",Sheet1!$E$8,Sheet1!$E$4)</f>
        <v>5.2999999999999998E-4</v>
      </c>
      <c r="R69">
        <f t="shared" si="7"/>
        <v>0</v>
      </c>
    </row>
    <row r="70" spans="1:18" x14ac:dyDescent="0.3">
      <c r="A70" t="s">
        <v>190</v>
      </c>
      <c r="B70" t="s">
        <v>191</v>
      </c>
      <c r="C70">
        <v>29.4713791</v>
      </c>
      <c r="D70">
        <v>77.752484699999997</v>
      </c>
      <c r="E70" t="s">
        <v>15</v>
      </c>
      <c r="G70" t="s">
        <v>192</v>
      </c>
      <c r="H70" t="s">
        <v>60</v>
      </c>
      <c r="I70" t="s">
        <v>18</v>
      </c>
      <c r="J70">
        <v>0</v>
      </c>
      <c r="K70">
        <f>IF(E70="Paper",Sheet1!$E$9,Sheet1!$E$5)</f>
        <v>1.8900000000000001E-4</v>
      </c>
      <c r="L70">
        <f t="shared" si="4"/>
        <v>0</v>
      </c>
      <c r="M70">
        <f>IF(E70="Paper",Sheet1!$E$6,Sheet1!$E$2)</f>
        <v>1.2285E-4</v>
      </c>
      <c r="N70">
        <f t="shared" si="5"/>
        <v>0</v>
      </c>
      <c r="O70">
        <f>IF(E70="Paper",Sheet1!$E$7,Sheet1!$E$3)</f>
        <v>4.2999999999999999E-4</v>
      </c>
      <c r="P70">
        <f t="shared" si="6"/>
        <v>0</v>
      </c>
      <c r="Q70">
        <f>IF(E70="Paper",Sheet1!$E$8,Sheet1!$E$4)</f>
        <v>5.2999999999999998E-4</v>
      </c>
      <c r="R70">
        <f t="shared" si="7"/>
        <v>0</v>
      </c>
    </row>
    <row r="71" spans="1:18" x14ac:dyDescent="0.3">
      <c r="A71" t="s">
        <v>193</v>
      </c>
      <c r="B71" t="s">
        <v>194</v>
      </c>
      <c r="C71">
        <v>28.6256874</v>
      </c>
      <c r="D71">
        <v>77.219880099999997</v>
      </c>
      <c r="E71" t="s">
        <v>15</v>
      </c>
      <c r="G71" t="s">
        <v>94</v>
      </c>
      <c r="H71" t="s">
        <v>60</v>
      </c>
      <c r="I71" t="s">
        <v>18</v>
      </c>
      <c r="J71">
        <v>0</v>
      </c>
      <c r="K71">
        <f>IF(E71="Paper",Sheet1!$E$9,Sheet1!$E$5)</f>
        <v>1.8900000000000001E-4</v>
      </c>
      <c r="L71">
        <f t="shared" si="4"/>
        <v>0</v>
      </c>
      <c r="M71">
        <f>IF(E71="Paper",Sheet1!$E$6,Sheet1!$E$2)</f>
        <v>1.2285E-4</v>
      </c>
      <c r="N71">
        <f t="shared" si="5"/>
        <v>0</v>
      </c>
      <c r="O71">
        <f>IF(E71="Paper",Sheet1!$E$7,Sheet1!$E$3)</f>
        <v>4.2999999999999999E-4</v>
      </c>
      <c r="P71">
        <f t="shared" si="6"/>
        <v>0</v>
      </c>
      <c r="Q71">
        <f>IF(E71="Paper",Sheet1!$E$8,Sheet1!$E$4)</f>
        <v>5.2999999999999998E-4</v>
      </c>
      <c r="R71">
        <f t="shared" si="7"/>
        <v>0</v>
      </c>
    </row>
    <row r="72" spans="1:18" x14ac:dyDescent="0.3">
      <c r="A72" t="s">
        <v>195</v>
      </c>
      <c r="B72" t="s">
        <v>196</v>
      </c>
      <c r="C72">
        <v>22.577148000000001</v>
      </c>
      <c r="D72">
        <v>88.348821099999995</v>
      </c>
      <c r="E72" t="s">
        <v>15</v>
      </c>
      <c r="G72" t="s">
        <v>97</v>
      </c>
      <c r="H72" t="s">
        <v>60</v>
      </c>
      <c r="I72" t="s">
        <v>18</v>
      </c>
      <c r="J72">
        <v>0</v>
      </c>
      <c r="K72">
        <f>IF(E72="Paper",Sheet1!$E$9,Sheet1!$E$5)</f>
        <v>1.8900000000000001E-4</v>
      </c>
      <c r="L72">
        <f t="shared" si="4"/>
        <v>0</v>
      </c>
      <c r="M72">
        <f>IF(E72="Paper",Sheet1!$E$6,Sheet1!$E$2)</f>
        <v>1.2285E-4</v>
      </c>
      <c r="N72">
        <f t="shared" si="5"/>
        <v>0</v>
      </c>
      <c r="O72">
        <f>IF(E72="Paper",Sheet1!$E$7,Sheet1!$E$3)</f>
        <v>4.2999999999999999E-4</v>
      </c>
      <c r="P72">
        <f t="shared" si="6"/>
        <v>0</v>
      </c>
      <c r="Q72">
        <f>IF(E72="Paper",Sheet1!$E$8,Sheet1!$E$4)</f>
        <v>5.2999999999999998E-4</v>
      </c>
      <c r="R72">
        <f t="shared" si="7"/>
        <v>0</v>
      </c>
    </row>
    <row r="73" spans="1:18" x14ac:dyDescent="0.3">
      <c r="A73" t="s">
        <v>197</v>
      </c>
      <c r="B73" t="s">
        <v>198</v>
      </c>
      <c r="C73">
        <v>29.957460000000001</v>
      </c>
      <c r="D73">
        <v>77.556329300000002</v>
      </c>
      <c r="E73" t="s">
        <v>76</v>
      </c>
      <c r="G73" t="s">
        <v>199</v>
      </c>
      <c r="H73" t="s">
        <v>60</v>
      </c>
      <c r="I73" t="s">
        <v>18</v>
      </c>
      <c r="J73">
        <v>0</v>
      </c>
      <c r="K73">
        <f>IF(E73="Paper",Sheet1!$E$9,Sheet1!$E$5)</f>
        <v>1.2999999999999999E-3</v>
      </c>
      <c r="L73">
        <f t="shared" si="4"/>
        <v>0</v>
      </c>
      <c r="M73">
        <f>IF(E73="Paper",Sheet1!$E$6,Sheet1!$E$2)</f>
        <v>9.7499999999999996E-4</v>
      </c>
      <c r="N73">
        <f t="shared" si="5"/>
        <v>0</v>
      </c>
      <c r="O73">
        <f>IF(E73="Paper",Sheet1!$E$7,Sheet1!$E$3)</f>
        <v>5.0000000000000001E-3</v>
      </c>
      <c r="P73">
        <f t="shared" si="6"/>
        <v>0</v>
      </c>
      <c r="Q73">
        <f>IF(E73="Paper",Sheet1!$E$8,Sheet1!$E$4)</f>
        <v>2.5000000000000001E-3</v>
      </c>
      <c r="R73">
        <f t="shared" si="7"/>
        <v>0</v>
      </c>
    </row>
    <row r="74" spans="1:18" x14ac:dyDescent="0.3">
      <c r="A74" t="s">
        <v>200</v>
      </c>
      <c r="B74" t="s">
        <v>201</v>
      </c>
      <c r="C74">
        <v>29.716375800000002</v>
      </c>
      <c r="D74">
        <v>77.849860000000007</v>
      </c>
      <c r="E74" t="s">
        <v>36</v>
      </c>
      <c r="G74" t="s">
        <v>199</v>
      </c>
      <c r="H74" t="s">
        <v>60</v>
      </c>
      <c r="I74" t="s">
        <v>18</v>
      </c>
      <c r="J74">
        <v>0</v>
      </c>
      <c r="K74">
        <f>IF(E74="Paper",Sheet1!$E$9,Sheet1!$E$5)</f>
        <v>1.2999999999999999E-3</v>
      </c>
      <c r="L74">
        <f t="shared" si="4"/>
        <v>0</v>
      </c>
      <c r="M74">
        <f>IF(E74="Paper",Sheet1!$E$6,Sheet1!$E$2)</f>
        <v>9.7499999999999996E-4</v>
      </c>
      <c r="N74">
        <f t="shared" si="5"/>
        <v>0</v>
      </c>
      <c r="O74">
        <f>IF(E74="Paper",Sheet1!$E$7,Sheet1!$E$3)</f>
        <v>5.0000000000000001E-3</v>
      </c>
      <c r="P74">
        <f t="shared" si="6"/>
        <v>0</v>
      </c>
      <c r="Q74">
        <f>IF(E74="Paper",Sheet1!$E$8,Sheet1!$E$4)</f>
        <v>2.5000000000000001E-3</v>
      </c>
      <c r="R74">
        <f t="shared" si="7"/>
        <v>0</v>
      </c>
    </row>
    <row r="75" spans="1:18" x14ac:dyDescent="0.3">
      <c r="A75" t="s">
        <v>202</v>
      </c>
      <c r="B75" t="s">
        <v>203</v>
      </c>
      <c r="C75">
        <v>22.540868499999998</v>
      </c>
      <c r="D75">
        <v>88.370919400000005</v>
      </c>
      <c r="E75" t="s">
        <v>15</v>
      </c>
      <c r="G75" t="s">
        <v>97</v>
      </c>
      <c r="H75" t="s">
        <v>60</v>
      </c>
      <c r="I75" t="s">
        <v>18</v>
      </c>
      <c r="J75">
        <v>0</v>
      </c>
      <c r="K75">
        <f>IF(E75="Paper",Sheet1!$E$9,Sheet1!$E$5)</f>
        <v>1.8900000000000001E-4</v>
      </c>
      <c r="L75">
        <f t="shared" si="4"/>
        <v>0</v>
      </c>
      <c r="M75">
        <f>IF(E75="Paper",Sheet1!$E$6,Sheet1!$E$2)</f>
        <v>1.2285E-4</v>
      </c>
      <c r="N75">
        <f t="shared" si="5"/>
        <v>0</v>
      </c>
      <c r="O75">
        <f>IF(E75="Paper",Sheet1!$E$7,Sheet1!$E$3)</f>
        <v>4.2999999999999999E-4</v>
      </c>
      <c r="P75">
        <f t="shared" si="6"/>
        <v>0</v>
      </c>
      <c r="Q75">
        <f>IF(E75="Paper",Sheet1!$E$8,Sheet1!$E$4)</f>
        <v>5.2999999999999998E-4</v>
      </c>
      <c r="R75">
        <f t="shared" si="7"/>
        <v>0</v>
      </c>
    </row>
    <row r="76" spans="1:18" x14ac:dyDescent="0.3">
      <c r="A76" t="s">
        <v>204</v>
      </c>
      <c r="B76" t="s">
        <v>205</v>
      </c>
      <c r="C76">
        <v>23.084929599999999</v>
      </c>
      <c r="D76">
        <v>88.497289199999997</v>
      </c>
      <c r="E76" t="s">
        <v>15</v>
      </c>
      <c r="G76" t="s">
        <v>206</v>
      </c>
      <c r="H76" t="s">
        <v>60</v>
      </c>
      <c r="I76" t="s">
        <v>18</v>
      </c>
      <c r="J76">
        <v>0</v>
      </c>
      <c r="K76">
        <f>IF(E76="Paper",Sheet1!$E$9,Sheet1!$E$5)</f>
        <v>1.8900000000000001E-4</v>
      </c>
      <c r="L76">
        <f t="shared" si="4"/>
        <v>0</v>
      </c>
      <c r="M76">
        <f>IF(E76="Paper",Sheet1!$E$6,Sheet1!$E$2)</f>
        <v>1.2285E-4</v>
      </c>
      <c r="N76">
        <f t="shared" si="5"/>
        <v>0</v>
      </c>
      <c r="O76">
        <f>IF(E76="Paper",Sheet1!$E$7,Sheet1!$E$3)</f>
        <v>4.2999999999999999E-4</v>
      </c>
      <c r="P76">
        <f t="shared" si="6"/>
        <v>0</v>
      </c>
      <c r="Q76">
        <f>IF(E76="Paper",Sheet1!$E$8,Sheet1!$E$4)</f>
        <v>5.2999999999999998E-4</v>
      </c>
      <c r="R76">
        <f t="shared" si="7"/>
        <v>0</v>
      </c>
    </row>
    <row r="77" spans="1:18" x14ac:dyDescent="0.3">
      <c r="A77" t="s">
        <v>207</v>
      </c>
      <c r="B77" t="s">
        <v>208</v>
      </c>
      <c r="C77">
        <v>28.555637999999998</v>
      </c>
      <c r="D77">
        <v>77.554226</v>
      </c>
      <c r="E77" t="s">
        <v>15</v>
      </c>
      <c r="G77" t="s">
        <v>209</v>
      </c>
      <c r="H77" t="s">
        <v>60</v>
      </c>
      <c r="I77" t="s">
        <v>18</v>
      </c>
      <c r="J77">
        <v>0</v>
      </c>
      <c r="K77">
        <f>IF(E77="Paper",Sheet1!$E$9,Sheet1!$E$5)</f>
        <v>1.8900000000000001E-4</v>
      </c>
      <c r="L77">
        <f t="shared" si="4"/>
        <v>0</v>
      </c>
      <c r="M77">
        <f>IF(E77="Paper",Sheet1!$E$6,Sheet1!$E$2)</f>
        <v>1.2285E-4</v>
      </c>
      <c r="N77">
        <f t="shared" si="5"/>
        <v>0</v>
      </c>
      <c r="O77">
        <f>IF(E77="Paper",Sheet1!$E$7,Sheet1!$E$3)</f>
        <v>4.2999999999999999E-4</v>
      </c>
      <c r="P77">
        <f t="shared" si="6"/>
        <v>0</v>
      </c>
      <c r="Q77">
        <f>IF(E77="Paper",Sheet1!$E$8,Sheet1!$E$4)</f>
        <v>5.2999999999999998E-4</v>
      </c>
      <c r="R77">
        <f t="shared" si="7"/>
        <v>0</v>
      </c>
    </row>
    <row r="78" spans="1:18" x14ac:dyDescent="0.3">
      <c r="A78" t="s">
        <v>210</v>
      </c>
      <c r="B78" t="s">
        <v>211</v>
      </c>
      <c r="C78">
        <v>29.4676905</v>
      </c>
      <c r="D78">
        <v>77.711568700000001</v>
      </c>
      <c r="E78" t="s">
        <v>15</v>
      </c>
      <c r="G78" t="s">
        <v>63</v>
      </c>
      <c r="H78" t="s">
        <v>60</v>
      </c>
      <c r="I78" t="s">
        <v>18</v>
      </c>
      <c r="J78">
        <v>0</v>
      </c>
      <c r="K78">
        <f>IF(E78="Paper",Sheet1!$E$9,Sheet1!$E$5)</f>
        <v>1.8900000000000001E-4</v>
      </c>
      <c r="L78">
        <f t="shared" si="4"/>
        <v>0</v>
      </c>
      <c r="M78">
        <f>IF(E78="Paper",Sheet1!$E$6,Sheet1!$E$2)</f>
        <v>1.2285E-4</v>
      </c>
      <c r="N78">
        <f t="shared" si="5"/>
        <v>0</v>
      </c>
      <c r="O78">
        <f>IF(E78="Paper",Sheet1!$E$7,Sheet1!$E$3)</f>
        <v>4.2999999999999999E-4</v>
      </c>
      <c r="P78">
        <f t="shared" si="6"/>
        <v>0</v>
      </c>
      <c r="Q78">
        <f>IF(E78="Paper",Sheet1!$E$8,Sheet1!$E$4)</f>
        <v>5.2999999999999998E-4</v>
      </c>
      <c r="R78">
        <f t="shared" si="7"/>
        <v>0</v>
      </c>
    </row>
    <row r="79" spans="1:18" x14ac:dyDescent="0.3">
      <c r="A79" t="s">
        <v>212</v>
      </c>
      <c r="B79" t="s">
        <v>213</v>
      </c>
      <c r="C79">
        <v>26.846693699999999</v>
      </c>
      <c r="D79">
        <v>80.946166000000005</v>
      </c>
      <c r="E79" t="s">
        <v>15</v>
      </c>
      <c r="G79" t="s">
        <v>214</v>
      </c>
      <c r="H79" t="s">
        <v>60</v>
      </c>
      <c r="I79" t="s">
        <v>18</v>
      </c>
      <c r="J79">
        <v>0</v>
      </c>
      <c r="K79">
        <f>IF(E79="Paper",Sheet1!$E$9,Sheet1!$E$5)</f>
        <v>1.8900000000000001E-4</v>
      </c>
      <c r="L79">
        <f t="shared" si="4"/>
        <v>0</v>
      </c>
      <c r="M79">
        <f>IF(E79="Paper",Sheet1!$E$6,Sheet1!$E$2)</f>
        <v>1.2285E-4</v>
      </c>
      <c r="N79">
        <f t="shared" si="5"/>
        <v>0</v>
      </c>
      <c r="O79">
        <f>IF(E79="Paper",Sheet1!$E$7,Sheet1!$E$3)</f>
        <v>4.2999999999999999E-4</v>
      </c>
      <c r="P79">
        <f t="shared" si="6"/>
        <v>0</v>
      </c>
      <c r="Q79">
        <f>IF(E79="Paper",Sheet1!$E$8,Sheet1!$E$4)</f>
        <v>5.2999999999999998E-4</v>
      </c>
      <c r="R79">
        <f t="shared" si="7"/>
        <v>0</v>
      </c>
    </row>
    <row r="80" spans="1:18" x14ac:dyDescent="0.3">
      <c r="A80" t="s">
        <v>215</v>
      </c>
      <c r="B80" t="s">
        <v>216</v>
      </c>
      <c r="C80">
        <v>31.364063399999999</v>
      </c>
      <c r="D80">
        <v>74.183130000000006</v>
      </c>
      <c r="E80" t="s">
        <v>15</v>
      </c>
      <c r="G80" t="s">
        <v>217</v>
      </c>
      <c r="H80" t="s">
        <v>218</v>
      </c>
      <c r="I80" t="s">
        <v>18</v>
      </c>
      <c r="J80">
        <v>0</v>
      </c>
      <c r="K80">
        <f>IF(E80="Paper",Sheet1!$E$9,Sheet1!$E$5)</f>
        <v>1.8900000000000001E-4</v>
      </c>
      <c r="L80">
        <f t="shared" si="4"/>
        <v>0</v>
      </c>
      <c r="M80">
        <f>IF(E80="Paper",Sheet1!$E$6,Sheet1!$E$2)</f>
        <v>1.2285E-4</v>
      </c>
      <c r="N80">
        <f t="shared" si="5"/>
        <v>0</v>
      </c>
      <c r="O80">
        <f>IF(E80="Paper",Sheet1!$E$7,Sheet1!$E$3)</f>
        <v>4.2999999999999999E-4</v>
      </c>
      <c r="P80">
        <f t="shared" si="6"/>
        <v>0</v>
      </c>
      <c r="Q80">
        <f>IF(E80="Paper",Sheet1!$E$8,Sheet1!$E$4)</f>
        <v>5.2999999999999998E-4</v>
      </c>
      <c r="R80">
        <f t="shared" si="7"/>
        <v>0</v>
      </c>
    </row>
    <row r="81" spans="1:18" x14ac:dyDescent="0.3">
      <c r="A81" t="s">
        <v>219</v>
      </c>
      <c r="B81" t="s">
        <v>220</v>
      </c>
      <c r="C81">
        <v>25.019832619999999</v>
      </c>
      <c r="D81">
        <v>67.112350070000005</v>
      </c>
      <c r="E81" t="s">
        <v>76</v>
      </c>
      <c r="G81" t="s">
        <v>221</v>
      </c>
      <c r="H81" t="s">
        <v>218</v>
      </c>
      <c r="I81" t="s">
        <v>18</v>
      </c>
      <c r="J81" s="1">
        <v>9000</v>
      </c>
      <c r="K81">
        <f>IF(E81="Paper",Sheet1!$E$9,Sheet1!$E$5)</f>
        <v>1.2999999999999999E-3</v>
      </c>
      <c r="L81">
        <f t="shared" si="4"/>
        <v>11.7</v>
      </c>
      <c r="M81">
        <f>IF(E81="Paper",Sheet1!$E$6,Sheet1!$E$2)</f>
        <v>9.7499999999999996E-4</v>
      </c>
      <c r="N81">
        <f t="shared" si="5"/>
        <v>8.7750000000000004</v>
      </c>
      <c r="O81">
        <f>IF(E81="Paper",Sheet1!$E$7,Sheet1!$E$3)</f>
        <v>5.0000000000000001E-3</v>
      </c>
      <c r="P81">
        <f t="shared" si="6"/>
        <v>45</v>
      </c>
      <c r="Q81">
        <f>IF(E81="Paper",Sheet1!$E$8,Sheet1!$E$4)</f>
        <v>2.5000000000000001E-3</v>
      </c>
      <c r="R81">
        <f t="shared" si="7"/>
        <v>22.5</v>
      </c>
    </row>
    <row r="82" spans="1:18" x14ac:dyDescent="0.3">
      <c r="A82" t="s">
        <v>222</v>
      </c>
      <c r="B82" t="s">
        <v>223</v>
      </c>
      <c r="C82">
        <v>31.447020139999999</v>
      </c>
      <c r="D82">
        <v>74.322214369999998</v>
      </c>
      <c r="E82" t="s">
        <v>36</v>
      </c>
      <c r="G82" t="s">
        <v>217</v>
      </c>
      <c r="H82" t="s">
        <v>218</v>
      </c>
      <c r="I82" t="s">
        <v>18</v>
      </c>
      <c r="J82">
        <v>0</v>
      </c>
      <c r="K82">
        <f>IF(E82="Paper",Sheet1!$E$9,Sheet1!$E$5)</f>
        <v>1.2999999999999999E-3</v>
      </c>
      <c r="L82">
        <f t="shared" si="4"/>
        <v>0</v>
      </c>
      <c r="M82">
        <f>IF(E82="Paper",Sheet1!$E$6,Sheet1!$E$2)</f>
        <v>9.7499999999999996E-4</v>
      </c>
      <c r="N82">
        <f t="shared" si="5"/>
        <v>0</v>
      </c>
      <c r="O82">
        <f>IF(E82="Paper",Sheet1!$E$7,Sheet1!$E$3)</f>
        <v>5.0000000000000001E-3</v>
      </c>
      <c r="P82">
        <f t="shared" si="6"/>
        <v>0</v>
      </c>
      <c r="Q82">
        <f>IF(E82="Paper",Sheet1!$E$8,Sheet1!$E$4)</f>
        <v>2.5000000000000001E-3</v>
      </c>
      <c r="R82">
        <f t="shared" si="7"/>
        <v>0</v>
      </c>
    </row>
    <row r="83" spans="1:18" x14ac:dyDescent="0.3">
      <c r="A83" t="s">
        <v>224</v>
      </c>
      <c r="B83" t="s">
        <v>225</v>
      </c>
      <c r="C83">
        <v>31.66143276</v>
      </c>
      <c r="D83">
        <v>74.145488720000003</v>
      </c>
      <c r="E83" t="s">
        <v>15</v>
      </c>
      <c r="G83" t="s">
        <v>226</v>
      </c>
      <c r="H83" t="s">
        <v>218</v>
      </c>
      <c r="I83" t="s">
        <v>18</v>
      </c>
      <c r="J83">
        <v>0</v>
      </c>
      <c r="K83">
        <f>IF(E83="Paper",Sheet1!$E$9,Sheet1!$E$5)</f>
        <v>1.8900000000000001E-4</v>
      </c>
      <c r="L83">
        <f t="shared" si="4"/>
        <v>0</v>
      </c>
      <c r="M83">
        <f>IF(E83="Paper",Sheet1!$E$6,Sheet1!$E$2)</f>
        <v>1.2285E-4</v>
      </c>
      <c r="N83">
        <f t="shared" si="5"/>
        <v>0</v>
      </c>
      <c r="O83">
        <f>IF(E83="Paper",Sheet1!$E$7,Sheet1!$E$3)</f>
        <v>4.2999999999999999E-4</v>
      </c>
      <c r="P83">
        <f t="shared" si="6"/>
        <v>0</v>
      </c>
      <c r="Q83">
        <f>IF(E83="Paper",Sheet1!$E$8,Sheet1!$E$4)</f>
        <v>5.2999999999999998E-4</v>
      </c>
      <c r="R83">
        <f t="shared" si="7"/>
        <v>0</v>
      </c>
    </row>
    <row r="84" spans="1:18" x14ac:dyDescent="0.3">
      <c r="A84" t="s">
        <v>227</v>
      </c>
      <c r="B84" t="s">
        <v>228</v>
      </c>
      <c r="C84">
        <v>24.84638983</v>
      </c>
      <c r="D84">
        <v>67.171631020000007</v>
      </c>
      <c r="E84" t="s">
        <v>36</v>
      </c>
      <c r="G84" t="s">
        <v>229</v>
      </c>
      <c r="H84" t="s">
        <v>218</v>
      </c>
      <c r="I84" t="s">
        <v>18</v>
      </c>
      <c r="J84">
        <v>0</v>
      </c>
      <c r="K84">
        <f>IF(E84="Paper",Sheet1!$E$9,Sheet1!$E$5)</f>
        <v>1.2999999999999999E-3</v>
      </c>
      <c r="L84">
        <f t="shared" si="4"/>
        <v>0</v>
      </c>
      <c r="M84">
        <f>IF(E84="Paper",Sheet1!$E$6,Sheet1!$E$2)</f>
        <v>9.7499999999999996E-4</v>
      </c>
      <c r="N84">
        <f t="shared" si="5"/>
        <v>0</v>
      </c>
      <c r="O84">
        <f>IF(E84="Paper",Sheet1!$E$7,Sheet1!$E$3)</f>
        <v>5.0000000000000001E-3</v>
      </c>
      <c r="P84">
        <f t="shared" si="6"/>
        <v>0</v>
      </c>
      <c r="Q84">
        <f>IF(E84="Paper",Sheet1!$E$8,Sheet1!$E$4)</f>
        <v>2.5000000000000001E-3</v>
      </c>
      <c r="R84">
        <f t="shared" si="7"/>
        <v>0</v>
      </c>
    </row>
    <row r="85" spans="1:18" x14ac:dyDescent="0.3">
      <c r="A85" t="s">
        <v>230</v>
      </c>
      <c r="B85" t="s">
        <v>231</v>
      </c>
      <c r="C85">
        <v>31.214550899999999</v>
      </c>
      <c r="D85">
        <v>74.118824599999996</v>
      </c>
      <c r="E85" t="s">
        <v>36</v>
      </c>
      <c r="G85" t="s">
        <v>232</v>
      </c>
      <c r="H85" t="s">
        <v>218</v>
      </c>
      <c r="I85" t="s">
        <v>18</v>
      </c>
      <c r="J85">
        <v>0</v>
      </c>
      <c r="K85">
        <f>IF(E85="Paper",Sheet1!$E$9,Sheet1!$E$5)</f>
        <v>1.2999999999999999E-3</v>
      </c>
      <c r="L85">
        <f t="shared" si="4"/>
        <v>0</v>
      </c>
      <c r="M85">
        <f>IF(E85="Paper",Sheet1!$E$6,Sheet1!$E$2)</f>
        <v>9.7499999999999996E-4</v>
      </c>
      <c r="N85">
        <f t="shared" si="5"/>
        <v>0</v>
      </c>
      <c r="O85">
        <f>IF(E85="Paper",Sheet1!$E$7,Sheet1!$E$3)</f>
        <v>5.0000000000000001E-3</v>
      </c>
      <c r="P85">
        <f t="shared" si="6"/>
        <v>0</v>
      </c>
      <c r="Q85">
        <f>IF(E85="Paper",Sheet1!$E$8,Sheet1!$E$4)</f>
        <v>2.5000000000000001E-3</v>
      </c>
      <c r="R85">
        <f t="shared" si="7"/>
        <v>0</v>
      </c>
    </row>
    <row r="86" spans="1:18" x14ac:dyDescent="0.3">
      <c r="A86" t="s">
        <v>233</v>
      </c>
      <c r="B86" t="s">
        <v>234</v>
      </c>
      <c r="C86">
        <v>30.0456602</v>
      </c>
      <c r="D86">
        <v>72.058595499999996</v>
      </c>
      <c r="E86" t="s">
        <v>27</v>
      </c>
      <c r="G86" t="s">
        <v>235</v>
      </c>
      <c r="H86" t="s">
        <v>218</v>
      </c>
      <c r="I86" t="s">
        <v>18</v>
      </c>
      <c r="J86">
        <v>0</v>
      </c>
      <c r="K86">
        <f>IF(E86="Paper",Sheet1!$E$9,Sheet1!$E$5)</f>
        <v>1.2999999999999999E-3</v>
      </c>
      <c r="L86">
        <f t="shared" si="4"/>
        <v>0</v>
      </c>
      <c r="M86">
        <f>IF(E86="Paper",Sheet1!$E$6,Sheet1!$E$2)</f>
        <v>9.7499999999999996E-4</v>
      </c>
      <c r="N86">
        <f t="shared" si="5"/>
        <v>0</v>
      </c>
      <c r="O86">
        <f>IF(E86="Paper",Sheet1!$E$7,Sheet1!$E$3)</f>
        <v>5.0000000000000001E-3</v>
      </c>
      <c r="P86">
        <f t="shared" si="6"/>
        <v>0</v>
      </c>
      <c r="Q86">
        <f>IF(E86="Paper",Sheet1!$E$8,Sheet1!$E$4)</f>
        <v>2.5000000000000001E-3</v>
      </c>
      <c r="R86">
        <f t="shared" si="7"/>
        <v>0</v>
      </c>
    </row>
    <row r="87" spans="1:18" x14ac:dyDescent="0.3">
      <c r="A87" t="s">
        <v>236</v>
      </c>
      <c r="B87" t="s">
        <v>237</v>
      </c>
      <c r="C87">
        <v>31.206234429999999</v>
      </c>
      <c r="D87">
        <v>73.963641870000004</v>
      </c>
      <c r="E87" t="s">
        <v>36</v>
      </c>
      <c r="G87" t="s">
        <v>232</v>
      </c>
      <c r="H87" t="s">
        <v>218</v>
      </c>
      <c r="I87" t="s">
        <v>18</v>
      </c>
      <c r="J87">
        <v>0</v>
      </c>
      <c r="K87">
        <f>IF(E87="Paper",Sheet1!$E$9,Sheet1!$E$5)</f>
        <v>1.2999999999999999E-3</v>
      </c>
      <c r="L87">
        <f t="shared" si="4"/>
        <v>0</v>
      </c>
      <c r="M87">
        <f>IF(E87="Paper",Sheet1!$E$6,Sheet1!$E$2)</f>
        <v>9.7499999999999996E-4</v>
      </c>
      <c r="N87">
        <f t="shared" si="5"/>
        <v>0</v>
      </c>
      <c r="O87">
        <f>IF(E87="Paper",Sheet1!$E$7,Sheet1!$E$3)</f>
        <v>5.0000000000000001E-3</v>
      </c>
      <c r="P87">
        <f t="shared" si="6"/>
        <v>0</v>
      </c>
      <c r="Q87">
        <f>IF(E87="Paper",Sheet1!$E$8,Sheet1!$E$4)</f>
        <v>2.5000000000000001E-3</v>
      </c>
      <c r="R87">
        <f t="shared" si="7"/>
        <v>0</v>
      </c>
    </row>
    <row r="88" spans="1:18" x14ac:dyDescent="0.3">
      <c r="A88" t="s">
        <v>238</v>
      </c>
      <c r="B88" t="s">
        <v>239</v>
      </c>
      <c r="C88">
        <v>31.628670499999998</v>
      </c>
      <c r="D88">
        <v>74.187572979999999</v>
      </c>
      <c r="E88" t="s">
        <v>36</v>
      </c>
      <c r="G88" t="s">
        <v>217</v>
      </c>
      <c r="H88" t="s">
        <v>218</v>
      </c>
      <c r="I88" t="s">
        <v>18</v>
      </c>
      <c r="J88">
        <v>0</v>
      </c>
      <c r="K88">
        <f>IF(E88="Paper",Sheet1!$E$9,Sheet1!$E$5)</f>
        <v>1.2999999999999999E-3</v>
      </c>
      <c r="L88">
        <f t="shared" si="4"/>
        <v>0</v>
      </c>
      <c r="M88">
        <f>IF(E88="Paper",Sheet1!$E$6,Sheet1!$E$2)</f>
        <v>9.7499999999999996E-4</v>
      </c>
      <c r="N88">
        <f t="shared" si="5"/>
        <v>0</v>
      </c>
      <c r="O88">
        <f>IF(E88="Paper",Sheet1!$E$7,Sheet1!$E$3)</f>
        <v>5.0000000000000001E-3</v>
      </c>
      <c r="P88">
        <f t="shared" si="6"/>
        <v>0</v>
      </c>
      <c r="Q88">
        <f>IF(E88="Paper",Sheet1!$E$8,Sheet1!$E$4)</f>
        <v>2.5000000000000001E-3</v>
      </c>
      <c r="R88">
        <f t="shared" si="7"/>
        <v>0</v>
      </c>
    </row>
    <row r="89" spans="1:18" x14ac:dyDescent="0.3">
      <c r="A89" t="s">
        <v>240</v>
      </c>
      <c r="B89" t="s">
        <v>241</v>
      </c>
      <c r="C89">
        <v>32.087092599999998</v>
      </c>
      <c r="D89">
        <v>72.658452600000004</v>
      </c>
      <c r="E89" t="s">
        <v>242</v>
      </c>
      <c r="G89" t="s">
        <v>243</v>
      </c>
      <c r="H89" t="s">
        <v>218</v>
      </c>
      <c r="I89" t="s">
        <v>18</v>
      </c>
      <c r="J89" s="1">
        <v>68000</v>
      </c>
      <c r="K89">
        <f>IF(E89="Paper",Sheet1!$E$9,Sheet1!$E$5)</f>
        <v>1.2999999999999999E-3</v>
      </c>
      <c r="L89">
        <f t="shared" si="4"/>
        <v>88.399999999999991</v>
      </c>
      <c r="M89">
        <f>IF(E89="Paper",Sheet1!$E$6,Sheet1!$E$2)</f>
        <v>9.7499999999999996E-4</v>
      </c>
      <c r="N89">
        <f t="shared" si="5"/>
        <v>66.3</v>
      </c>
      <c r="O89">
        <f>IF(E89="Paper",Sheet1!$E$7,Sheet1!$E$3)</f>
        <v>5.0000000000000001E-3</v>
      </c>
      <c r="P89">
        <f t="shared" si="6"/>
        <v>340</v>
      </c>
      <c r="Q89">
        <f>IF(E89="Paper",Sheet1!$E$8,Sheet1!$E$4)</f>
        <v>2.5000000000000001E-3</v>
      </c>
      <c r="R89">
        <f t="shared" si="7"/>
        <v>170</v>
      </c>
    </row>
    <row r="90" spans="1:18" x14ac:dyDescent="0.3">
      <c r="A90" t="s">
        <v>244</v>
      </c>
      <c r="B90" t="s">
        <v>245</v>
      </c>
      <c r="C90">
        <v>30.875566790000001</v>
      </c>
      <c r="D90">
        <v>73.420921469999996</v>
      </c>
      <c r="E90" t="s">
        <v>36</v>
      </c>
      <c r="G90" t="s">
        <v>246</v>
      </c>
      <c r="H90" t="s">
        <v>218</v>
      </c>
      <c r="I90" t="s">
        <v>18</v>
      </c>
      <c r="J90">
        <v>0</v>
      </c>
      <c r="K90">
        <f>IF(E90="Paper",Sheet1!$E$9,Sheet1!$E$5)</f>
        <v>1.2999999999999999E-3</v>
      </c>
      <c r="L90">
        <f t="shared" si="4"/>
        <v>0</v>
      </c>
      <c r="M90">
        <f>IF(E90="Paper",Sheet1!$E$6,Sheet1!$E$2)</f>
        <v>9.7499999999999996E-4</v>
      </c>
      <c r="N90">
        <f t="shared" si="5"/>
        <v>0</v>
      </c>
      <c r="O90">
        <f>IF(E90="Paper",Sheet1!$E$7,Sheet1!$E$3)</f>
        <v>5.0000000000000001E-3</v>
      </c>
      <c r="P90">
        <f t="shared" si="6"/>
        <v>0</v>
      </c>
      <c r="Q90">
        <f>IF(E90="Paper",Sheet1!$E$8,Sheet1!$E$4)</f>
        <v>2.5000000000000001E-3</v>
      </c>
      <c r="R90">
        <f t="shared" si="7"/>
        <v>0</v>
      </c>
    </row>
    <row r="91" spans="1:18" x14ac:dyDescent="0.3">
      <c r="A91" t="s">
        <v>247</v>
      </c>
      <c r="B91" t="s">
        <v>248</v>
      </c>
      <c r="C91">
        <v>32.1367859</v>
      </c>
      <c r="D91">
        <v>74.193264799999994</v>
      </c>
      <c r="E91" t="s">
        <v>15</v>
      </c>
      <c r="G91" t="s">
        <v>249</v>
      </c>
      <c r="H91" t="s">
        <v>218</v>
      </c>
      <c r="I91" t="s">
        <v>18</v>
      </c>
      <c r="J91">
        <v>0</v>
      </c>
      <c r="K91">
        <f>IF(E91="Paper",Sheet1!$E$9,Sheet1!$E$5)</f>
        <v>1.8900000000000001E-4</v>
      </c>
      <c r="L91">
        <f t="shared" si="4"/>
        <v>0</v>
      </c>
      <c r="M91">
        <f>IF(E91="Paper",Sheet1!$E$6,Sheet1!$E$2)</f>
        <v>1.2285E-4</v>
      </c>
      <c r="N91">
        <f t="shared" si="5"/>
        <v>0</v>
      </c>
      <c r="O91">
        <f>IF(E91="Paper",Sheet1!$E$7,Sheet1!$E$3)</f>
        <v>4.2999999999999999E-4</v>
      </c>
      <c r="P91">
        <f t="shared" si="6"/>
        <v>0</v>
      </c>
      <c r="Q91">
        <f>IF(E91="Paper",Sheet1!$E$8,Sheet1!$E$4)</f>
        <v>5.2999999999999998E-4</v>
      </c>
      <c r="R91">
        <f t="shared" si="7"/>
        <v>0</v>
      </c>
    </row>
    <row r="92" spans="1:18" x14ac:dyDescent="0.3">
      <c r="A92" t="s">
        <v>250</v>
      </c>
      <c r="B92" t="s">
        <v>251</v>
      </c>
      <c r="C92">
        <v>34.168181400000002</v>
      </c>
      <c r="D92">
        <v>71.750385499999993</v>
      </c>
      <c r="E92" t="s">
        <v>76</v>
      </c>
      <c r="G92" t="s">
        <v>252</v>
      </c>
      <c r="H92" t="s">
        <v>218</v>
      </c>
      <c r="I92" t="s">
        <v>18</v>
      </c>
      <c r="J92" s="1">
        <v>66000</v>
      </c>
      <c r="K92">
        <f>IF(E92="Paper",Sheet1!$E$9,Sheet1!$E$5)</f>
        <v>1.2999999999999999E-3</v>
      </c>
      <c r="L92">
        <f t="shared" si="4"/>
        <v>85.8</v>
      </c>
      <c r="M92">
        <f>IF(E92="Paper",Sheet1!$E$6,Sheet1!$E$2)</f>
        <v>9.7499999999999996E-4</v>
      </c>
      <c r="N92">
        <f t="shared" si="5"/>
        <v>64.349999999999994</v>
      </c>
      <c r="O92">
        <f>IF(E92="Paper",Sheet1!$E$7,Sheet1!$E$3)</f>
        <v>5.0000000000000001E-3</v>
      </c>
      <c r="P92">
        <f t="shared" si="6"/>
        <v>330</v>
      </c>
      <c r="Q92">
        <f>IF(E92="Paper",Sheet1!$E$8,Sheet1!$E$4)</f>
        <v>2.5000000000000001E-3</v>
      </c>
      <c r="R92">
        <f t="shared" si="7"/>
        <v>165</v>
      </c>
    </row>
    <row r="93" spans="1:18" x14ac:dyDescent="0.3">
      <c r="A93" t="s">
        <v>253</v>
      </c>
      <c r="B93" t="s">
        <v>254</v>
      </c>
      <c r="C93">
        <v>31.5247931</v>
      </c>
      <c r="D93">
        <v>74.322560800000005</v>
      </c>
      <c r="E93" t="s">
        <v>255</v>
      </c>
      <c r="G93" t="s">
        <v>217</v>
      </c>
      <c r="H93" t="s">
        <v>218</v>
      </c>
      <c r="I93" t="s">
        <v>18</v>
      </c>
      <c r="J93">
        <v>0</v>
      </c>
      <c r="K93">
        <f>IF(E93="Paper",Sheet1!$E$9,Sheet1!$E$5)</f>
        <v>1.2999999999999999E-3</v>
      </c>
      <c r="L93">
        <f t="shared" si="4"/>
        <v>0</v>
      </c>
      <c r="M93">
        <f>IF(E93="Paper",Sheet1!$E$6,Sheet1!$E$2)</f>
        <v>9.7499999999999996E-4</v>
      </c>
      <c r="N93">
        <f t="shared" si="5"/>
        <v>0</v>
      </c>
      <c r="O93">
        <f>IF(E93="Paper",Sheet1!$E$7,Sheet1!$E$3)</f>
        <v>5.0000000000000001E-3</v>
      </c>
      <c r="P93">
        <f t="shared" si="6"/>
        <v>0</v>
      </c>
      <c r="Q93">
        <f>IF(E93="Paper",Sheet1!$E$8,Sheet1!$E$4)</f>
        <v>2.5000000000000001E-3</v>
      </c>
      <c r="R93">
        <f t="shared" si="7"/>
        <v>0</v>
      </c>
    </row>
    <row r="94" spans="1:18" x14ac:dyDescent="0.3">
      <c r="A94" t="s">
        <v>256</v>
      </c>
      <c r="B94" t="s">
        <v>257</v>
      </c>
      <c r="C94">
        <v>31.989488099999999</v>
      </c>
      <c r="D94">
        <v>74.2195526</v>
      </c>
      <c r="E94" t="s">
        <v>258</v>
      </c>
      <c r="G94" t="s">
        <v>259</v>
      </c>
      <c r="H94" t="s">
        <v>218</v>
      </c>
      <c r="I94" t="s">
        <v>18</v>
      </c>
      <c r="J94" s="1">
        <v>10000</v>
      </c>
      <c r="K94">
        <f>IF(E94="Paper",Sheet1!$E$9,Sheet1!$E$5)</f>
        <v>1.2999999999999999E-3</v>
      </c>
      <c r="L94">
        <f t="shared" si="4"/>
        <v>13</v>
      </c>
      <c r="M94">
        <f>IF(E94="Paper",Sheet1!$E$6,Sheet1!$E$2)</f>
        <v>9.7499999999999996E-4</v>
      </c>
      <c r="N94">
        <f t="shared" si="5"/>
        <v>9.75</v>
      </c>
      <c r="O94">
        <f>IF(E94="Paper",Sheet1!$E$7,Sheet1!$E$3)</f>
        <v>5.0000000000000001E-3</v>
      </c>
      <c r="P94">
        <f t="shared" si="6"/>
        <v>50</v>
      </c>
      <c r="Q94">
        <f>IF(E94="Paper",Sheet1!$E$8,Sheet1!$E$4)</f>
        <v>2.5000000000000001E-3</v>
      </c>
      <c r="R94">
        <f t="shared" si="7"/>
        <v>25</v>
      </c>
    </row>
    <row r="95" spans="1:18" x14ac:dyDescent="0.3">
      <c r="A95" t="s">
        <v>260</v>
      </c>
      <c r="B95" t="s">
        <v>261</v>
      </c>
      <c r="C95">
        <v>24.843339960000002</v>
      </c>
      <c r="D95">
        <v>67.152721069999998</v>
      </c>
      <c r="E95" t="s">
        <v>15</v>
      </c>
      <c r="G95" t="s">
        <v>229</v>
      </c>
      <c r="H95" t="s">
        <v>218</v>
      </c>
      <c r="I95" t="s">
        <v>18</v>
      </c>
      <c r="J95">
        <v>0</v>
      </c>
      <c r="K95">
        <f>IF(E95="Paper",Sheet1!$E$9,Sheet1!$E$5)</f>
        <v>1.8900000000000001E-4</v>
      </c>
      <c r="L95">
        <f t="shared" si="4"/>
        <v>0</v>
      </c>
      <c r="M95">
        <f>IF(E95="Paper",Sheet1!$E$6,Sheet1!$E$2)</f>
        <v>1.2285E-4</v>
      </c>
      <c r="N95">
        <f t="shared" si="5"/>
        <v>0</v>
      </c>
      <c r="O95">
        <f>IF(E95="Paper",Sheet1!$E$7,Sheet1!$E$3)</f>
        <v>4.2999999999999999E-4</v>
      </c>
      <c r="P95">
        <f t="shared" si="6"/>
        <v>0</v>
      </c>
      <c r="Q95">
        <f>IF(E95="Paper",Sheet1!$E$8,Sheet1!$E$4)</f>
        <v>5.2999999999999998E-4</v>
      </c>
      <c r="R95">
        <f t="shared" si="7"/>
        <v>0</v>
      </c>
    </row>
    <row r="96" spans="1:18" x14ac:dyDescent="0.3">
      <c r="A96" t="s">
        <v>262</v>
      </c>
      <c r="B96" t="s">
        <v>263</v>
      </c>
      <c r="C96">
        <v>25.354252209999999</v>
      </c>
      <c r="D96">
        <v>68.275088350000004</v>
      </c>
      <c r="E96" t="s">
        <v>36</v>
      </c>
      <c r="G96" t="s">
        <v>264</v>
      </c>
      <c r="H96" t="s">
        <v>218</v>
      </c>
      <c r="I96" t="s">
        <v>18</v>
      </c>
      <c r="J96">
        <v>0</v>
      </c>
      <c r="K96">
        <f>IF(E96="Paper",Sheet1!$E$9,Sheet1!$E$5)</f>
        <v>1.2999999999999999E-3</v>
      </c>
      <c r="L96">
        <f t="shared" si="4"/>
        <v>0</v>
      </c>
      <c r="M96">
        <f>IF(E96="Paper",Sheet1!$E$6,Sheet1!$E$2)</f>
        <v>9.7499999999999996E-4</v>
      </c>
      <c r="N96">
        <f t="shared" si="5"/>
        <v>0</v>
      </c>
      <c r="O96">
        <f>IF(E96="Paper",Sheet1!$E$7,Sheet1!$E$3)</f>
        <v>5.0000000000000001E-3</v>
      </c>
      <c r="P96">
        <f t="shared" si="6"/>
        <v>0</v>
      </c>
      <c r="Q96">
        <f>IF(E96="Paper",Sheet1!$E$8,Sheet1!$E$4)</f>
        <v>2.5000000000000001E-3</v>
      </c>
      <c r="R96">
        <f t="shared" si="7"/>
        <v>0</v>
      </c>
    </row>
    <row r="97" spans="1:18" x14ac:dyDescent="0.3">
      <c r="A97" t="s">
        <v>265</v>
      </c>
      <c r="B97" t="s">
        <v>266</v>
      </c>
      <c r="C97">
        <v>31.487164799999999</v>
      </c>
      <c r="D97">
        <v>74.347070599999995</v>
      </c>
      <c r="E97" t="s">
        <v>36</v>
      </c>
      <c r="G97" t="s">
        <v>217</v>
      </c>
      <c r="H97" t="s">
        <v>218</v>
      </c>
      <c r="I97" t="s">
        <v>18</v>
      </c>
      <c r="J97">
        <v>0</v>
      </c>
      <c r="K97">
        <f>IF(E97="Paper",Sheet1!$E$9,Sheet1!$E$5)</f>
        <v>1.2999999999999999E-3</v>
      </c>
      <c r="L97">
        <f t="shared" si="4"/>
        <v>0</v>
      </c>
      <c r="M97">
        <f>IF(E97="Paper",Sheet1!$E$6,Sheet1!$E$2)</f>
        <v>9.7499999999999996E-4</v>
      </c>
      <c r="N97">
        <f t="shared" si="5"/>
        <v>0</v>
      </c>
      <c r="O97">
        <f>IF(E97="Paper",Sheet1!$E$7,Sheet1!$E$3)</f>
        <v>5.0000000000000001E-3</v>
      </c>
      <c r="P97">
        <f t="shared" si="6"/>
        <v>0</v>
      </c>
      <c r="Q97">
        <f>IF(E97="Paper",Sheet1!$E$8,Sheet1!$E$4)</f>
        <v>2.5000000000000001E-3</v>
      </c>
      <c r="R97">
        <f t="shared" si="7"/>
        <v>0</v>
      </c>
    </row>
    <row r="98" spans="1:18" x14ac:dyDescent="0.3">
      <c r="A98" t="s">
        <v>267</v>
      </c>
      <c r="B98" t="s">
        <v>268</v>
      </c>
      <c r="C98">
        <v>31.660477230000001</v>
      </c>
      <c r="D98">
        <v>74.148974159999995</v>
      </c>
      <c r="E98" t="s">
        <v>76</v>
      </c>
      <c r="G98" t="s">
        <v>226</v>
      </c>
      <c r="H98" t="s">
        <v>218</v>
      </c>
      <c r="I98" t="s">
        <v>18</v>
      </c>
      <c r="J98">
        <v>0</v>
      </c>
      <c r="K98">
        <f>IF(E98="Paper",Sheet1!$E$9,Sheet1!$E$5)</f>
        <v>1.2999999999999999E-3</v>
      </c>
      <c r="L98">
        <f t="shared" si="4"/>
        <v>0</v>
      </c>
      <c r="M98">
        <f>IF(E98="Paper",Sheet1!$E$6,Sheet1!$E$2)</f>
        <v>9.7499999999999996E-4</v>
      </c>
      <c r="N98">
        <f t="shared" si="5"/>
        <v>0</v>
      </c>
      <c r="O98">
        <f>IF(E98="Paper",Sheet1!$E$7,Sheet1!$E$3)</f>
        <v>5.0000000000000001E-3</v>
      </c>
      <c r="P98">
        <f t="shared" si="6"/>
        <v>0</v>
      </c>
      <c r="Q98">
        <f>IF(E98="Paper",Sheet1!$E$8,Sheet1!$E$4)</f>
        <v>2.5000000000000001E-3</v>
      </c>
      <c r="R98">
        <f t="shared" si="7"/>
        <v>0</v>
      </c>
    </row>
    <row r="99" spans="1:18" x14ac:dyDescent="0.3">
      <c r="A99" t="s">
        <v>269</v>
      </c>
      <c r="B99" t="s">
        <v>270</v>
      </c>
      <c r="C99">
        <v>24.857675400000002</v>
      </c>
      <c r="D99">
        <v>67.0030115</v>
      </c>
      <c r="E99" t="s">
        <v>76</v>
      </c>
      <c r="G99" t="s">
        <v>229</v>
      </c>
      <c r="H99" t="s">
        <v>218</v>
      </c>
      <c r="I99" t="s">
        <v>18</v>
      </c>
      <c r="J99" s="1">
        <v>7500</v>
      </c>
      <c r="K99">
        <f>IF(E99="Paper",Sheet1!$E$9,Sheet1!$E$5)</f>
        <v>1.2999999999999999E-3</v>
      </c>
      <c r="L99">
        <f t="shared" si="4"/>
        <v>9.75</v>
      </c>
      <c r="M99">
        <f>IF(E99="Paper",Sheet1!$E$6,Sheet1!$E$2)</f>
        <v>9.7499999999999996E-4</v>
      </c>
      <c r="N99">
        <f t="shared" si="5"/>
        <v>7.3125</v>
      </c>
      <c r="O99">
        <f>IF(E99="Paper",Sheet1!$E$7,Sheet1!$E$3)</f>
        <v>5.0000000000000001E-3</v>
      </c>
      <c r="P99">
        <f t="shared" si="6"/>
        <v>37.5</v>
      </c>
      <c r="Q99">
        <f>IF(E99="Paper",Sheet1!$E$8,Sheet1!$E$4)</f>
        <v>2.5000000000000001E-3</v>
      </c>
      <c r="R99">
        <f t="shared" si="7"/>
        <v>18.75</v>
      </c>
    </row>
    <row r="100" spans="1:18" x14ac:dyDescent="0.3">
      <c r="A100" t="s">
        <v>271</v>
      </c>
      <c r="B100" t="s">
        <v>272</v>
      </c>
      <c r="C100">
        <v>31.46950794</v>
      </c>
      <c r="D100">
        <v>74.349841089999998</v>
      </c>
      <c r="E100" t="s">
        <v>258</v>
      </c>
      <c r="G100" t="s">
        <v>217</v>
      </c>
      <c r="H100" t="s">
        <v>218</v>
      </c>
      <c r="I100" t="s">
        <v>18</v>
      </c>
      <c r="J100" s="1">
        <v>94000</v>
      </c>
      <c r="K100">
        <f>IF(E100="Paper",Sheet1!$E$9,Sheet1!$E$5)</f>
        <v>1.2999999999999999E-3</v>
      </c>
      <c r="L100">
        <f t="shared" si="4"/>
        <v>122.19999999999999</v>
      </c>
      <c r="M100">
        <f>IF(E100="Paper",Sheet1!$E$6,Sheet1!$E$2)</f>
        <v>9.7499999999999996E-4</v>
      </c>
      <c r="N100">
        <f t="shared" si="5"/>
        <v>91.649999999999991</v>
      </c>
      <c r="O100">
        <f>IF(E100="Paper",Sheet1!$E$7,Sheet1!$E$3)</f>
        <v>5.0000000000000001E-3</v>
      </c>
      <c r="P100">
        <f t="shared" si="6"/>
        <v>470</v>
      </c>
      <c r="Q100">
        <f>IF(E100="Paper",Sheet1!$E$8,Sheet1!$E$4)</f>
        <v>2.5000000000000001E-3</v>
      </c>
      <c r="R100">
        <f t="shared" si="7"/>
        <v>235</v>
      </c>
    </row>
    <row r="101" spans="1:18" x14ac:dyDescent="0.3">
      <c r="A101" t="s">
        <v>273</v>
      </c>
      <c r="B101" t="s">
        <v>274</v>
      </c>
      <c r="C101">
        <v>24.900311680000002</v>
      </c>
      <c r="D101">
        <v>66.991228939999999</v>
      </c>
      <c r="E101" t="s">
        <v>117</v>
      </c>
      <c r="G101" t="s">
        <v>229</v>
      </c>
      <c r="H101" t="s">
        <v>218</v>
      </c>
      <c r="I101" t="s">
        <v>18</v>
      </c>
      <c r="J101">
        <v>0</v>
      </c>
      <c r="K101">
        <f>IF(E101="Paper",Sheet1!$E$9,Sheet1!$E$5)</f>
        <v>1.2999999999999999E-3</v>
      </c>
      <c r="L101">
        <f t="shared" si="4"/>
        <v>0</v>
      </c>
      <c r="M101">
        <f>IF(E101="Paper",Sheet1!$E$6,Sheet1!$E$2)</f>
        <v>9.7499999999999996E-4</v>
      </c>
      <c r="N101">
        <f t="shared" si="5"/>
        <v>0</v>
      </c>
      <c r="O101">
        <f>IF(E101="Paper",Sheet1!$E$7,Sheet1!$E$3)</f>
        <v>5.0000000000000001E-3</v>
      </c>
      <c r="P101">
        <f t="shared" si="6"/>
        <v>0</v>
      </c>
      <c r="Q101">
        <f>IF(E101="Paper",Sheet1!$E$8,Sheet1!$E$4)</f>
        <v>2.5000000000000001E-3</v>
      </c>
      <c r="R101">
        <f t="shared" si="7"/>
        <v>0</v>
      </c>
    </row>
    <row r="102" spans="1:18" x14ac:dyDescent="0.3">
      <c r="A102" t="s">
        <v>275</v>
      </c>
      <c r="B102" t="s">
        <v>276</v>
      </c>
      <c r="C102">
        <v>34.0057866</v>
      </c>
      <c r="D102">
        <v>71.9296662</v>
      </c>
      <c r="E102" t="s">
        <v>27</v>
      </c>
      <c r="G102" t="s">
        <v>277</v>
      </c>
      <c r="H102" t="s">
        <v>218</v>
      </c>
      <c r="I102" t="s">
        <v>18</v>
      </c>
      <c r="J102">
        <v>0</v>
      </c>
      <c r="K102">
        <f>IF(E102="Paper",Sheet1!$E$9,Sheet1!$E$5)</f>
        <v>1.2999999999999999E-3</v>
      </c>
      <c r="L102">
        <f t="shared" si="4"/>
        <v>0</v>
      </c>
      <c r="M102">
        <f>IF(E102="Paper",Sheet1!$E$6,Sheet1!$E$2)</f>
        <v>9.7499999999999996E-4</v>
      </c>
      <c r="N102">
        <f t="shared" si="5"/>
        <v>0</v>
      </c>
      <c r="O102">
        <f>IF(E102="Paper",Sheet1!$E$7,Sheet1!$E$3)</f>
        <v>5.0000000000000001E-3</v>
      </c>
      <c r="P102">
        <f t="shared" si="6"/>
        <v>0</v>
      </c>
      <c r="Q102">
        <f>IF(E102="Paper",Sheet1!$E$8,Sheet1!$E$4)</f>
        <v>2.5000000000000001E-3</v>
      </c>
      <c r="R102">
        <f t="shared" si="7"/>
        <v>0</v>
      </c>
    </row>
    <row r="103" spans="1:18" x14ac:dyDescent="0.3">
      <c r="A103" t="s">
        <v>278</v>
      </c>
      <c r="B103" t="s">
        <v>279</v>
      </c>
      <c r="C103">
        <v>31.396275750000001</v>
      </c>
      <c r="D103">
        <v>74.1458102</v>
      </c>
      <c r="E103" t="s">
        <v>117</v>
      </c>
      <c r="G103" t="s">
        <v>217</v>
      </c>
      <c r="H103" t="s">
        <v>218</v>
      </c>
      <c r="I103" t="s">
        <v>18</v>
      </c>
      <c r="J103">
        <v>0</v>
      </c>
      <c r="K103">
        <f>IF(E103="Paper",Sheet1!$E$9,Sheet1!$E$5)</f>
        <v>1.2999999999999999E-3</v>
      </c>
      <c r="L103">
        <f t="shared" si="4"/>
        <v>0</v>
      </c>
      <c r="M103">
        <f>IF(E103="Paper",Sheet1!$E$6,Sheet1!$E$2)</f>
        <v>9.7499999999999996E-4</v>
      </c>
      <c r="N103">
        <f t="shared" si="5"/>
        <v>0</v>
      </c>
      <c r="O103">
        <f>IF(E103="Paper",Sheet1!$E$7,Sheet1!$E$3)</f>
        <v>5.0000000000000001E-3</v>
      </c>
      <c r="P103">
        <f t="shared" si="6"/>
        <v>0</v>
      </c>
      <c r="Q103">
        <f>IF(E103="Paper",Sheet1!$E$8,Sheet1!$E$4)</f>
        <v>2.5000000000000001E-3</v>
      </c>
      <c r="R103">
        <f t="shared" si="7"/>
        <v>0</v>
      </c>
    </row>
    <row r="104" spans="1:18" x14ac:dyDescent="0.3">
      <c r="A104" t="s">
        <v>280</v>
      </c>
      <c r="B104" t="s">
        <v>281</v>
      </c>
      <c r="C104">
        <v>32.075740799999998</v>
      </c>
      <c r="D104">
        <v>74.196975300000005</v>
      </c>
      <c r="E104" t="s">
        <v>15</v>
      </c>
      <c r="G104" t="s">
        <v>249</v>
      </c>
      <c r="H104" t="s">
        <v>218</v>
      </c>
      <c r="I104" t="s">
        <v>18</v>
      </c>
      <c r="J104">
        <v>0</v>
      </c>
      <c r="K104">
        <f>IF(E104="Paper",Sheet1!$E$9,Sheet1!$E$5)</f>
        <v>1.8900000000000001E-4</v>
      </c>
      <c r="L104">
        <f t="shared" si="4"/>
        <v>0</v>
      </c>
      <c r="M104">
        <f>IF(E104="Paper",Sheet1!$E$6,Sheet1!$E$2)</f>
        <v>1.2285E-4</v>
      </c>
      <c r="N104">
        <f t="shared" si="5"/>
        <v>0</v>
      </c>
      <c r="O104">
        <f>IF(E104="Paper",Sheet1!$E$7,Sheet1!$E$3)</f>
        <v>4.2999999999999999E-4</v>
      </c>
      <c r="P104">
        <f t="shared" si="6"/>
        <v>0</v>
      </c>
      <c r="Q104">
        <f>IF(E104="Paper",Sheet1!$E$8,Sheet1!$E$4)</f>
        <v>5.2999999999999998E-4</v>
      </c>
      <c r="R104">
        <f t="shared" si="7"/>
        <v>0</v>
      </c>
    </row>
    <row r="105" spans="1:18" x14ac:dyDescent="0.3">
      <c r="A105" t="s">
        <v>282</v>
      </c>
      <c r="B105" t="s">
        <v>283</v>
      </c>
      <c r="C105">
        <v>31.676293810000001</v>
      </c>
      <c r="D105">
        <v>74.093312030000007</v>
      </c>
      <c r="E105" t="s">
        <v>76</v>
      </c>
      <c r="G105" t="s">
        <v>226</v>
      </c>
      <c r="H105" t="s">
        <v>218</v>
      </c>
      <c r="I105" t="s">
        <v>18</v>
      </c>
      <c r="J105" s="1">
        <v>18000</v>
      </c>
      <c r="K105">
        <f>IF(E105="Paper",Sheet1!$E$9,Sheet1!$E$5)</f>
        <v>1.2999999999999999E-3</v>
      </c>
      <c r="L105">
        <f t="shared" si="4"/>
        <v>23.4</v>
      </c>
      <c r="M105">
        <f>IF(E105="Paper",Sheet1!$E$6,Sheet1!$E$2)</f>
        <v>9.7499999999999996E-4</v>
      </c>
      <c r="N105">
        <f t="shared" si="5"/>
        <v>17.55</v>
      </c>
      <c r="O105">
        <f>IF(E105="Paper",Sheet1!$E$7,Sheet1!$E$3)</f>
        <v>5.0000000000000001E-3</v>
      </c>
      <c r="P105">
        <f t="shared" si="6"/>
        <v>90</v>
      </c>
      <c r="Q105">
        <f>IF(E105="Paper",Sheet1!$E$8,Sheet1!$E$4)</f>
        <v>2.5000000000000001E-3</v>
      </c>
      <c r="R105">
        <f t="shared" si="7"/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E4FD-BBB9-4BC3-BFC6-007EECEF9A0D}">
  <dimension ref="A1:F21"/>
  <sheetViews>
    <sheetView workbookViewId="0">
      <selection activeCell="E2" sqref="E2"/>
    </sheetView>
  </sheetViews>
  <sheetFormatPr defaultRowHeight="14.4" x14ac:dyDescent="0.3"/>
  <cols>
    <col min="1" max="2" width="15.109375" customWidth="1"/>
    <col min="3" max="3" width="30.77734375" customWidth="1"/>
    <col min="4" max="4" width="15.44140625" bestFit="1" customWidth="1"/>
    <col min="5" max="5" width="45.6640625" bestFit="1" customWidth="1"/>
    <col min="6" max="6" width="109.109375" bestFit="1" customWidth="1"/>
  </cols>
  <sheetData>
    <row r="1" spans="1:6" x14ac:dyDescent="0.3">
      <c r="A1" s="2" t="s">
        <v>284</v>
      </c>
      <c r="B1" s="2" t="s">
        <v>4</v>
      </c>
      <c r="C1" s="2" t="s">
        <v>285</v>
      </c>
      <c r="D1" s="2" t="s">
        <v>286</v>
      </c>
      <c r="E1" s="2" t="s">
        <v>287</v>
      </c>
      <c r="F1" s="3" t="s">
        <v>288</v>
      </c>
    </row>
    <row r="2" spans="1:6" x14ac:dyDescent="0.3">
      <c r="A2" s="2" t="s">
        <v>289</v>
      </c>
      <c r="B2" s="2" t="s">
        <v>290</v>
      </c>
      <c r="C2" s="2">
        <v>0.97499999999999998</v>
      </c>
      <c r="D2" s="2" t="s">
        <v>291</v>
      </c>
      <c r="E2" s="2">
        <f>C2/1000</f>
        <v>9.7499999999999996E-4</v>
      </c>
      <c r="F2" t="s">
        <v>292</v>
      </c>
    </row>
    <row r="3" spans="1:6" x14ac:dyDescent="0.3">
      <c r="A3" s="2" t="s">
        <v>293</v>
      </c>
      <c r="B3" s="2" t="s">
        <v>290</v>
      </c>
      <c r="C3" s="2">
        <v>5</v>
      </c>
      <c r="D3" s="2" t="s">
        <v>291</v>
      </c>
      <c r="E3" s="2">
        <f t="shared" ref="E3:E5" si="0">C3/1000</f>
        <v>5.0000000000000001E-3</v>
      </c>
      <c r="F3" s="3"/>
    </row>
    <row r="4" spans="1:6" x14ac:dyDescent="0.3">
      <c r="A4" s="2" t="s">
        <v>294</v>
      </c>
      <c r="B4" s="2" t="s">
        <v>290</v>
      </c>
      <c r="C4" s="2">
        <v>2.5</v>
      </c>
      <c r="D4" s="2" t="s">
        <v>291</v>
      </c>
      <c r="E4" s="2">
        <f t="shared" si="0"/>
        <v>2.5000000000000001E-3</v>
      </c>
      <c r="F4" s="3"/>
    </row>
    <row r="5" spans="1:6" x14ac:dyDescent="0.3">
      <c r="A5" s="2" t="s">
        <v>295</v>
      </c>
      <c r="B5" s="2" t="s">
        <v>290</v>
      </c>
      <c r="C5" s="2">
        <v>1.3</v>
      </c>
      <c r="D5" s="2" t="s">
        <v>291</v>
      </c>
      <c r="E5" s="2">
        <f t="shared" si="0"/>
        <v>1.2999999999999999E-3</v>
      </c>
      <c r="F5" s="3"/>
    </row>
    <row r="6" spans="1:6" x14ac:dyDescent="0.3">
      <c r="A6" s="2" t="s">
        <v>289</v>
      </c>
      <c r="B6" s="2" t="s">
        <v>296</v>
      </c>
      <c r="C6" s="2">
        <f>0.65*C9</f>
        <v>0.12285</v>
      </c>
      <c r="D6" s="2" t="s">
        <v>291</v>
      </c>
      <c r="E6" s="2">
        <f>C6/1000</f>
        <v>1.2285E-4</v>
      </c>
      <c r="F6" s="3"/>
    </row>
    <row r="7" spans="1:6" x14ac:dyDescent="0.3">
      <c r="A7" s="2" t="s">
        <v>293</v>
      </c>
      <c r="B7" s="2" t="s">
        <v>296</v>
      </c>
      <c r="C7" s="2">
        <v>0.43</v>
      </c>
      <c r="D7" s="2" t="s">
        <v>291</v>
      </c>
      <c r="E7" s="2">
        <f t="shared" ref="E7:E9" si="1">C7/1000</f>
        <v>4.2999999999999999E-4</v>
      </c>
      <c r="F7" s="3"/>
    </row>
    <row r="8" spans="1:6" x14ac:dyDescent="0.3">
      <c r="A8" s="2" t="s">
        <v>294</v>
      </c>
      <c r="B8" s="2" t="s">
        <v>296</v>
      </c>
      <c r="C8" s="2">
        <v>0.53</v>
      </c>
      <c r="D8" s="2" t="s">
        <v>291</v>
      </c>
      <c r="E8" s="2">
        <f t="shared" si="1"/>
        <v>5.2999999999999998E-4</v>
      </c>
      <c r="F8" s="3"/>
    </row>
    <row r="9" spans="1:6" x14ac:dyDescent="0.3">
      <c r="A9" s="2" t="s">
        <v>295</v>
      </c>
      <c r="B9" s="2" t="s">
        <v>296</v>
      </c>
      <c r="C9" s="2">
        <f>0.6*0.315</f>
        <v>0.189</v>
      </c>
      <c r="D9" s="2" t="s">
        <v>291</v>
      </c>
      <c r="E9" s="2">
        <f t="shared" si="1"/>
        <v>1.8900000000000001E-4</v>
      </c>
      <c r="F9" s="3"/>
    </row>
    <row r="10" spans="1:6" x14ac:dyDescent="0.3">
      <c r="A10" s="3"/>
      <c r="B10" s="3"/>
      <c r="C10" s="3"/>
      <c r="D10" s="3"/>
      <c r="E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ht="100.8" x14ac:dyDescent="0.3">
      <c r="A14" s="4" t="s">
        <v>297</v>
      </c>
      <c r="B14" s="4"/>
      <c r="C14" s="5" t="s">
        <v>298</v>
      </c>
      <c r="D14" s="3"/>
      <c r="E14" s="6" t="s">
        <v>299</v>
      </c>
      <c r="F14" s="6"/>
    </row>
    <row r="15" spans="1:6" ht="72" x14ac:dyDescent="0.3">
      <c r="C15" s="7" t="s">
        <v>300</v>
      </c>
      <c r="E15" s="6" t="s">
        <v>301</v>
      </c>
      <c r="F15" s="6"/>
    </row>
    <row r="16" spans="1:6" ht="15.6" x14ac:dyDescent="0.3">
      <c r="E16" s="6"/>
      <c r="F16" s="6"/>
    </row>
    <row r="17" spans="5:6" ht="15.6" x14ac:dyDescent="0.3">
      <c r="E17" s="6"/>
      <c r="F17" s="6"/>
    </row>
    <row r="18" spans="5:6" ht="15.6" x14ac:dyDescent="0.3">
      <c r="E18" s="6"/>
      <c r="F18" s="6"/>
    </row>
    <row r="19" spans="5:6" ht="15.6" x14ac:dyDescent="0.3">
      <c r="E19" s="6"/>
      <c r="F19" s="6"/>
    </row>
    <row r="20" spans="5:6" ht="15.6" x14ac:dyDescent="0.3">
      <c r="E20" s="6"/>
      <c r="F20" s="6"/>
    </row>
    <row r="21" spans="5:6" ht="15.6" x14ac:dyDescent="0.3">
      <c r="E21" s="6"/>
      <c r="F21" s="6"/>
    </row>
  </sheetData>
  <hyperlinks>
    <hyperlink ref="C14" r:id="rId1" xr:uid="{367306FF-0123-4A49-8160-32B67BF6CF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paper_pulp_main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Zakir Khizer</cp:lastModifiedBy>
  <dcterms:created xsi:type="dcterms:W3CDTF">2025-11-10T11:17:22Z</dcterms:created>
  <dcterms:modified xsi:type="dcterms:W3CDTF">2025-11-10T12:30:36Z</dcterms:modified>
</cp:coreProperties>
</file>