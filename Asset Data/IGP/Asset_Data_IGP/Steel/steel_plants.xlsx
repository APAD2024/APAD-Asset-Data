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Steel\"/>
    </mc:Choice>
  </mc:AlternateContent>
  <xr:revisionPtr revIDLastSave="0" documentId="13_ncr:1_{8E88E193-DCD2-4713-AC63-C847B80EA6B4}" xr6:coauthVersionLast="47" xr6:coauthVersionMax="47" xr10:uidLastSave="{00000000-0000-0000-0000-000000000000}"/>
  <bookViews>
    <workbookView xWindow="-108" yWindow="-108" windowWidth="23256" windowHeight="12456" xr2:uid="{DDB24A7A-4012-4475-B5DF-F169382237C6}"/>
  </bookViews>
  <sheets>
    <sheet name="steel_plants_ma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3" i="1"/>
  <c r="K46" i="1"/>
  <c r="L46" i="1"/>
  <c r="M46" i="1"/>
  <c r="N46" i="1"/>
  <c r="O46" i="1"/>
  <c r="P46" i="1"/>
  <c r="Q46" i="1"/>
  <c r="R46" i="1"/>
  <c r="K30" i="1"/>
  <c r="L30" i="1" s="1"/>
  <c r="M30" i="1"/>
  <c r="N30" i="1"/>
  <c r="O30" i="1"/>
  <c r="P30" i="1"/>
  <c r="Q30" i="1"/>
  <c r="R30" i="1" s="1"/>
  <c r="J33" i="1"/>
  <c r="P33" i="1" s="1"/>
  <c r="K33" i="1"/>
  <c r="M33" i="1"/>
  <c r="O33" i="1"/>
  <c r="Q33" i="1"/>
  <c r="R33" i="1"/>
  <c r="K29" i="1"/>
  <c r="L29" i="1"/>
  <c r="M29" i="1"/>
  <c r="N29" i="1"/>
  <c r="O29" i="1"/>
  <c r="P29" i="1" s="1"/>
  <c r="Q29" i="1"/>
  <c r="R29" i="1"/>
  <c r="K26" i="1"/>
  <c r="L26" i="1" s="1"/>
  <c r="M26" i="1"/>
  <c r="N26" i="1" s="1"/>
  <c r="O26" i="1"/>
  <c r="P26" i="1" s="1"/>
  <c r="Q26" i="1"/>
  <c r="R26" i="1" s="1"/>
  <c r="K27" i="1"/>
  <c r="L27" i="1" s="1"/>
  <c r="M27" i="1"/>
  <c r="N27" i="1"/>
  <c r="O27" i="1"/>
  <c r="P27" i="1" s="1"/>
  <c r="Q27" i="1"/>
  <c r="R27" i="1"/>
  <c r="K28" i="1"/>
  <c r="L28" i="1" s="1"/>
  <c r="M28" i="1"/>
  <c r="N28" i="1" s="1"/>
  <c r="O28" i="1"/>
  <c r="P28" i="1"/>
  <c r="Q28" i="1"/>
  <c r="R28" i="1"/>
  <c r="K25" i="1"/>
  <c r="L25" i="1" s="1"/>
  <c r="M25" i="1"/>
  <c r="N25" i="1" s="1"/>
  <c r="O25" i="1"/>
  <c r="P25" i="1" s="1"/>
  <c r="Q25" i="1"/>
  <c r="R25" i="1" s="1"/>
  <c r="K24" i="1"/>
  <c r="L24" i="1" s="1"/>
  <c r="M24" i="1"/>
  <c r="N24" i="1" s="1"/>
  <c r="O24" i="1"/>
  <c r="P24" i="1" s="1"/>
  <c r="Q24" i="1"/>
  <c r="R24" i="1" s="1"/>
  <c r="K23" i="1"/>
  <c r="L23" i="1" s="1"/>
  <c r="M23" i="1"/>
  <c r="N23" i="1" s="1"/>
  <c r="O23" i="1"/>
  <c r="P23" i="1" s="1"/>
  <c r="Q23" i="1"/>
  <c r="R23" i="1" s="1"/>
  <c r="K22" i="1"/>
  <c r="L22" i="1" s="1"/>
  <c r="M22" i="1"/>
  <c r="N22" i="1"/>
  <c r="O22" i="1"/>
  <c r="P22" i="1" s="1"/>
  <c r="Q22" i="1"/>
  <c r="R22" i="1" s="1"/>
  <c r="K21" i="1"/>
  <c r="L21" i="1" s="1"/>
  <c r="M21" i="1"/>
  <c r="N21" i="1" s="1"/>
  <c r="O21" i="1"/>
  <c r="P21" i="1" s="1"/>
  <c r="Q21" i="1"/>
  <c r="R21" i="1" s="1"/>
  <c r="K20" i="1"/>
  <c r="L20" i="1" s="1"/>
  <c r="M20" i="1"/>
  <c r="N20" i="1" s="1"/>
  <c r="O20" i="1"/>
  <c r="P20" i="1" s="1"/>
  <c r="Q20" i="1"/>
  <c r="R20" i="1" s="1"/>
  <c r="K19" i="1"/>
  <c r="L19" i="1" s="1"/>
  <c r="M19" i="1"/>
  <c r="N19" i="1" s="1"/>
  <c r="O19" i="1"/>
  <c r="P19" i="1" s="1"/>
  <c r="Q19" i="1"/>
  <c r="R19" i="1" s="1"/>
  <c r="K45" i="1"/>
  <c r="L45" i="1" s="1"/>
  <c r="M45" i="1"/>
  <c r="N45" i="1" s="1"/>
  <c r="O45" i="1"/>
  <c r="P45" i="1" s="1"/>
  <c r="Q45" i="1"/>
  <c r="R45" i="1" s="1"/>
  <c r="K44" i="1"/>
  <c r="L44" i="1" s="1"/>
  <c r="M44" i="1"/>
  <c r="N44" i="1" s="1"/>
  <c r="O44" i="1"/>
  <c r="P44" i="1" s="1"/>
  <c r="Q44" i="1"/>
  <c r="R44" i="1" s="1"/>
  <c r="K43" i="1"/>
  <c r="L43" i="1" s="1"/>
  <c r="M43" i="1"/>
  <c r="N43" i="1" s="1"/>
  <c r="O43" i="1"/>
  <c r="P43" i="1" s="1"/>
  <c r="Q43" i="1"/>
  <c r="R43" i="1" s="1"/>
  <c r="K42" i="1"/>
  <c r="L42" i="1" s="1"/>
  <c r="M42" i="1"/>
  <c r="N42" i="1" s="1"/>
  <c r="O42" i="1"/>
  <c r="P42" i="1" s="1"/>
  <c r="Q42" i="1"/>
  <c r="R42" i="1" s="1"/>
  <c r="J37" i="1"/>
  <c r="J41" i="1"/>
  <c r="J40" i="1"/>
  <c r="J39" i="1"/>
  <c r="J38" i="1"/>
  <c r="J36" i="1"/>
  <c r="J35" i="1"/>
  <c r="Q36" i="1"/>
  <c r="Q37" i="1"/>
  <c r="Q38" i="1"/>
  <c r="Q39" i="1"/>
  <c r="Q40" i="1"/>
  <c r="O3" i="1"/>
  <c r="O4" i="1"/>
  <c r="P4" i="1" s="1"/>
  <c r="O5" i="1"/>
  <c r="P5" i="1" s="1"/>
  <c r="O7" i="1"/>
  <c r="P7" i="1" s="1"/>
  <c r="O8" i="1"/>
  <c r="P8" i="1" s="1"/>
  <c r="O9" i="1"/>
  <c r="P9" i="1" s="1"/>
  <c r="O10" i="1"/>
  <c r="P10" i="1" s="1"/>
  <c r="O12" i="1"/>
  <c r="P12" i="1" s="1"/>
  <c r="O18" i="1"/>
  <c r="P18" i="1" s="1"/>
  <c r="O34" i="1"/>
  <c r="P34" i="1" s="1"/>
  <c r="O39" i="1"/>
  <c r="O40" i="1"/>
  <c r="O41" i="1"/>
  <c r="M3" i="1"/>
  <c r="M4" i="1"/>
  <c r="N4" i="1" s="1"/>
  <c r="M7" i="1"/>
  <c r="N7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36" i="1"/>
  <c r="M37" i="1"/>
  <c r="M38" i="1"/>
  <c r="M39" i="1"/>
  <c r="M40" i="1"/>
  <c r="K3" i="1"/>
  <c r="K9" i="1"/>
  <c r="L9" i="1" s="1"/>
  <c r="K10" i="1"/>
  <c r="L10" i="1" s="1"/>
  <c r="K12" i="1"/>
  <c r="L12" i="1" s="1"/>
  <c r="K18" i="1"/>
  <c r="L18" i="1" s="1"/>
  <c r="K34" i="1"/>
  <c r="L34" i="1" s="1"/>
  <c r="K38" i="1"/>
  <c r="D5" i="2"/>
  <c r="D4" i="2"/>
  <c r="D3" i="2"/>
  <c r="D2" i="2"/>
  <c r="N33" i="1" l="1"/>
  <c r="L33" i="1"/>
  <c r="N40" i="1"/>
  <c r="N39" i="1"/>
  <c r="L38" i="1"/>
  <c r="P39" i="1"/>
  <c r="R39" i="1"/>
  <c r="R38" i="1"/>
  <c r="R40" i="1"/>
  <c r="N37" i="1"/>
  <c r="R36" i="1"/>
  <c r="N36" i="1"/>
  <c r="N38" i="1"/>
  <c r="P41" i="1"/>
  <c r="P3" i="1"/>
  <c r="N3" i="1"/>
  <c r="Q13" i="1"/>
  <c r="R13" i="1" s="1"/>
  <c r="K16" i="1"/>
  <c r="L16" i="1" s="1"/>
  <c r="Q18" i="1"/>
  <c r="R18" i="1" s="1"/>
  <c r="Q17" i="1"/>
  <c r="R17" i="1" s="1"/>
  <c r="Q4" i="1"/>
  <c r="R4" i="1" s="1"/>
  <c r="K41" i="1"/>
  <c r="L41" i="1" s="1"/>
  <c r="K7" i="1"/>
  <c r="L7" i="1" s="1"/>
  <c r="K5" i="1"/>
  <c r="L5" i="1" s="1"/>
  <c r="Q16" i="1"/>
  <c r="R16" i="1" s="1"/>
  <c r="Q3" i="1"/>
  <c r="R3" i="1" s="1"/>
  <c r="K17" i="1"/>
  <c r="L17" i="1" s="1"/>
  <c r="Q15" i="1"/>
  <c r="R15" i="1" s="1"/>
  <c r="Q7" i="1"/>
  <c r="R7" i="1" s="1"/>
  <c r="Q11" i="1"/>
  <c r="R11" i="1" s="1"/>
  <c r="Q41" i="1"/>
  <c r="R41" i="1" s="1"/>
  <c r="Q5" i="1"/>
  <c r="R5" i="1" s="1"/>
  <c r="Q9" i="1"/>
  <c r="R9" i="1" s="1"/>
  <c r="Q12" i="1"/>
  <c r="R12" i="1" s="1"/>
  <c r="Q10" i="1"/>
  <c r="R10" i="1" s="1"/>
  <c r="Q6" i="1"/>
  <c r="R6" i="1" s="1"/>
  <c r="Q34" i="1"/>
  <c r="R34" i="1" s="1"/>
  <c r="Q35" i="1"/>
  <c r="R35" i="1" s="1"/>
  <c r="Q8" i="1"/>
  <c r="R8" i="1" s="1"/>
  <c r="K40" i="1"/>
  <c r="L40" i="1" s="1"/>
  <c r="K8" i="1"/>
  <c r="L8" i="1" s="1"/>
  <c r="K6" i="1"/>
  <c r="L6" i="1" s="1"/>
  <c r="K11" i="1"/>
  <c r="L11" i="1" s="1"/>
  <c r="K35" i="1"/>
  <c r="L35" i="1" s="1"/>
  <c r="K13" i="1"/>
  <c r="L13" i="1" s="1"/>
  <c r="K37" i="1"/>
  <c r="L37" i="1" s="1"/>
  <c r="K14" i="1"/>
  <c r="L14" i="1" s="1"/>
  <c r="K36" i="1"/>
  <c r="L36" i="1" s="1"/>
  <c r="K15" i="1"/>
  <c r="L15" i="1" s="1"/>
  <c r="K39" i="1"/>
  <c r="L39" i="1" s="1"/>
  <c r="K4" i="1"/>
  <c r="L4" i="1" s="1"/>
  <c r="L3" i="1"/>
  <c r="Q14" i="1"/>
  <c r="R14" i="1" s="1"/>
  <c r="M35" i="1"/>
  <c r="N35" i="1" s="1"/>
  <c r="M11" i="1"/>
  <c r="N11" i="1" s="1"/>
  <c r="M6" i="1"/>
  <c r="N6" i="1" s="1"/>
  <c r="O17" i="1"/>
  <c r="P17" i="1" s="1"/>
  <c r="M8" i="1"/>
  <c r="N8" i="1" s="1"/>
  <c r="O38" i="1"/>
  <c r="P38" i="1" s="1"/>
  <c r="O16" i="1"/>
  <c r="P16" i="1" s="1"/>
  <c r="O15" i="1"/>
  <c r="P15" i="1" s="1"/>
  <c r="M34" i="1"/>
  <c r="N34" i="1" s="1"/>
  <c r="O37" i="1"/>
  <c r="P37" i="1" s="1"/>
  <c r="M10" i="1"/>
  <c r="N10" i="1" s="1"/>
  <c r="O36" i="1"/>
  <c r="P36" i="1" s="1"/>
  <c r="O14" i="1"/>
  <c r="P14" i="1" s="1"/>
  <c r="M12" i="1"/>
  <c r="N12" i="1" s="1"/>
  <c r="M9" i="1"/>
  <c r="N9" i="1" s="1"/>
  <c r="M5" i="1"/>
  <c r="N5" i="1" s="1"/>
  <c r="O13" i="1"/>
  <c r="P13" i="1" s="1"/>
  <c r="M41" i="1"/>
  <c r="N41" i="1" s="1"/>
  <c r="O35" i="1"/>
  <c r="P35" i="1" s="1"/>
  <c r="O11" i="1"/>
  <c r="P11" i="1" s="1"/>
  <c r="O6" i="1"/>
  <c r="P6" i="1" s="1"/>
  <c r="P40" i="1"/>
  <c r="R37" i="1"/>
</calcChain>
</file>

<file path=xl/sharedStrings.xml><?xml version="1.0" encoding="utf-8"?>
<sst xmlns="http://schemas.openxmlformats.org/spreadsheetml/2006/main" count="301" uniqueCount="147">
  <si>
    <t>id</t>
  </si>
  <si>
    <t>name</t>
  </si>
  <si>
    <t>lat</t>
  </si>
  <si>
    <t>lon</t>
  </si>
  <si>
    <t>type</t>
  </si>
  <si>
    <t xml:space="preserve"> fuel</t>
  </si>
  <si>
    <t>region</t>
  </si>
  <si>
    <t>country</t>
  </si>
  <si>
    <t>status</t>
  </si>
  <si>
    <t>emfpm10</t>
  </si>
  <si>
    <t>emfpm25</t>
  </si>
  <si>
    <t>emfso2</t>
  </si>
  <si>
    <t>emfnox</t>
  </si>
  <si>
    <t>Downstream</t>
  </si>
  <si>
    <t>Operating</t>
  </si>
  <si>
    <t>Mini-Mill</t>
  </si>
  <si>
    <t>SPI-1</t>
  </si>
  <si>
    <t>Jindal Stainless Ltd</t>
  </si>
  <si>
    <t>Haryana</t>
  </si>
  <si>
    <t>India</t>
  </si>
  <si>
    <t>SPI-2</t>
  </si>
  <si>
    <t>KR Steel Union Ltd</t>
  </si>
  <si>
    <t>West Bengal</t>
  </si>
  <si>
    <t>SPI-3</t>
  </si>
  <si>
    <t>Orissa Metaliks Pvt Ltd</t>
  </si>
  <si>
    <t>Integrated</t>
  </si>
  <si>
    <t>SPI-4</t>
  </si>
  <si>
    <t>Steel Authority of India Ltd</t>
  </si>
  <si>
    <t>SPI-5</t>
  </si>
  <si>
    <t>SPI-6</t>
  </si>
  <si>
    <t>SPI-7</t>
  </si>
  <si>
    <t>Tata Steel Ltd</t>
  </si>
  <si>
    <t>SPI-8</t>
  </si>
  <si>
    <t>Uttar Pradesh</t>
  </si>
  <si>
    <t>SPI-9</t>
  </si>
  <si>
    <t>Usha Martin Ltd</t>
  </si>
  <si>
    <t>Punjab</t>
  </si>
  <si>
    <t>SPI-10</t>
  </si>
  <si>
    <t>SPI-11</t>
  </si>
  <si>
    <t>SPI-12</t>
  </si>
  <si>
    <t>SPI-13</t>
  </si>
  <si>
    <t>SPI-14</t>
  </si>
  <si>
    <t>SPI-15</t>
  </si>
  <si>
    <t>SPI-16</t>
  </si>
  <si>
    <t>SPI-17</t>
  </si>
  <si>
    <t>SPI-18</t>
  </si>
  <si>
    <t>SPI-19</t>
  </si>
  <si>
    <t>SPI-20</t>
  </si>
  <si>
    <t>SPI-21</t>
  </si>
  <si>
    <t>SPI-22</t>
  </si>
  <si>
    <t>SPI-23</t>
  </si>
  <si>
    <t>Tata Steel BSL Ltd</t>
  </si>
  <si>
    <t>SPP-1</t>
  </si>
  <si>
    <t>DRI</t>
  </si>
  <si>
    <t>Sindh</t>
  </si>
  <si>
    <t>Pakistan</t>
  </si>
  <si>
    <t>SPP-2</t>
  </si>
  <si>
    <t>Amreli Steels Ltd</t>
  </si>
  <si>
    <t>SPP-3</t>
  </si>
  <si>
    <t>Aisha Steel Mills Ltd</t>
  </si>
  <si>
    <t>SPP-4</t>
  </si>
  <si>
    <t>SPP-5</t>
  </si>
  <si>
    <t>Ishtiaq Steel Industry</t>
  </si>
  <si>
    <t>Ittefaq Iron Industries Ltd</t>
  </si>
  <si>
    <t>SPP-7</t>
  </si>
  <si>
    <t>Pakistan Steel Mills Corp Pvt Ltd</t>
  </si>
  <si>
    <t>SPP-8</t>
  </si>
  <si>
    <t>Peoples Steel Mills Ltd</t>
  </si>
  <si>
    <t>SPP-9</t>
  </si>
  <si>
    <t>Balochistan</t>
  </si>
  <si>
    <t>SPP-10</t>
  </si>
  <si>
    <t>Al Tuwairqi Holding Co</t>
  </si>
  <si>
    <t>SPP-11</t>
  </si>
  <si>
    <t>SPP-12</t>
  </si>
  <si>
    <t>SPP-13</t>
  </si>
  <si>
    <t>International Industries Ltd</t>
  </si>
  <si>
    <t>SPP-14</t>
  </si>
  <si>
    <t>Siddiqsons Group</t>
  </si>
  <si>
    <t>Pollutant</t>
  </si>
  <si>
    <t>EF</t>
  </si>
  <si>
    <t>Unit</t>
  </si>
  <si>
    <t>EF normalised (tonnes of pollutant/tonnes of production)</t>
  </si>
  <si>
    <t>Notes</t>
  </si>
  <si>
    <t>PM2.5</t>
  </si>
  <si>
    <t xml:space="preserve"> tonne/000 tonnes</t>
  </si>
  <si>
    <t>SO2</t>
  </si>
  <si>
    <t>NOx</t>
  </si>
  <si>
    <t>PM10*</t>
  </si>
  <si>
    <t>This is estimated by taking global PM10:PM2.5 ratio from the paper that is 1.5185 and multiplying that with PM2.5 EF</t>
  </si>
  <si>
    <t>The average emission intensities of developing countries are 2.51 ton of PM2.5, 1.44 ton of SO2, and 0.47 ton of NOx per thousand ton of crude steel produced. </t>
  </si>
  <si>
    <t>Source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</si>
  <si>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</si>
  <si>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capacity_tonnes</t>
  </si>
  <si>
    <t>pm10_t_yr</t>
  </si>
  <si>
    <t>pm25_t_yr</t>
  </si>
  <si>
    <t>so2_t_yr</t>
  </si>
  <si>
    <t>nox_t_yr</t>
  </si>
  <si>
    <t>Faizan Steel Karachi</t>
  </si>
  <si>
    <t>BOF</t>
  </si>
  <si>
    <t>Agha Steel Industries Karachi plant</t>
  </si>
  <si>
    <t>EAF</t>
  </si>
  <si>
    <t>Ittehad Steel Faisalabad plant</t>
  </si>
  <si>
    <t>Mughal Iron &amp; Steel Industries Lahore plant</t>
  </si>
  <si>
    <t>c_t</t>
  </si>
  <si>
    <t>source</t>
  </si>
  <si>
    <t>Gallantt Ispat Gorakhpur steel plant</t>
  </si>
  <si>
    <t>SAIL IISCO Steel Plant</t>
  </si>
  <si>
    <t>Shyam Metalics Jamuria Steel Plant</t>
  </si>
  <si>
    <t>Shyam Steel Mejia Steel Plant</t>
  </si>
  <si>
    <t>SAIL Durgapur steel plant</t>
  </si>
  <si>
    <t>SAIL Alloy Steel Plant</t>
  </si>
  <si>
    <t>Jai Balaji Durgapur Unit IV steel plant</t>
  </si>
  <si>
    <t>Rashmi Metaliks Kharagpur steel plant</t>
  </si>
  <si>
    <t>Orissa Alloy Steel Kharagpur Plant</t>
  </si>
  <si>
    <t>SPB-1</t>
  </si>
  <si>
    <t>Megnha Re-rolling and Steel Mills steel plant</t>
  </si>
  <si>
    <t>Chittagong</t>
  </si>
  <si>
    <t>Bangladesh</t>
  </si>
  <si>
    <t>SPI-24</t>
  </si>
  <si>
    <t>Rashmi Green Hydrogen Steel Kharagpur steel plant</t>
  </si>
  <si>
    <t>Orissa Steel and Power Jhargram Steel Plant</t>
  </si>
  <si>
    <t>SPI-25</t>
  </si>
  <si>
    <t>JSW Bengal Steel Salboni plant</t>
  </si>
  <si>
    <t>SPI-26</t>
  </si>
  <si>
    <t>Captain Steel Garbeta steel plant</t>
  </si>
  <si>
    <t>SPI-27</t>
  </si>
  <si>
    <t>https://www.gem.wiki/Captain_Steel_Garbeta_steel_plant</t>
  </si>
  <si>
    <t>SPI-28</t>
  </si>
  <si>
    <t>Jai Balaji Rajbandh Unit III steel plant</t>
  </si>
  <si>
    <t>https://www.gem.wiki/Jai_Balaji_Rajbandh_Unit_III_steel_plant</t>
  </si>
  <si>
    <t>KIC Metaliks Durgapur steel plant</t>
  </si>
  <si>
    <t>SPI-29</t>
  </si>
  <si>
    <t>https://www.gem.wiki/KIC_Metaliks_Durgapur_steel_plant</t>
  </si>
  <si>
    <t>SPI-30</t>
  </si>
  <si>
    <t>Rashmi Metaliks Jamuria steel plant</t>
  </si>
  <si>
    <t>https://www.gem.wiki/Rashmi_Metaliks_Jamuria_steel_plant</t>
  </si>
  <si>
    <t>Vardhman Special Steels Ludhiana steel plant</t>
  </si>
  <si>
    <t>Tata Steel Ludhiana steel plant</t>
  </si>
  <si>
    <t>https://www.gem.wiki/Tata_Steel_Ludhiana_steel_plant</t>
  </si>
  <si>
    <t>SPP-15</t>
  </si>
  <si>
    <t>Century Steel Khyber plant</t>
  </si>
  <si>
    <t>Khyber Pakhtunkhwa</t>
  </si>
  <si>
    <t>https://www.gem.wiki/Century_Steel_Khyber_plant</t>
  </si>
  <si>
    <t>Maithan Steel &amp; Power Limited (Unit 2)</t>
  </si>
  <si>
    <t>Jsw Steel coated products limited</t>
  </si>
  <si>
    <t>Allied Strips Limited</t>
  </si>
  <si>
    <t>Arjas Modern Steel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</si>
</sst>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C039-05FF-412C-8052-2378DE6F90DD}">
  <dimension ref="A1:S46"/>
  <sheetViews>
    <sheetView tabSelected="1" zoomScale="116" workbookViewId="0">
      <selection activeCell="B17" sqref="B17"/>
    </sheetView>
  </sheetViews>
  <sheetFormatPr defaultRowHeight="14.4" x14ac:dyDescent="0.3"/>
  <cols>
    <col min="2" max="2" width="44.44140625" bestFit="1" customWidth="1"/>
    <col min="3" max="4" width="11.5546875" bestFit="1" customWidth="1"/>
  </cols>
  <sheetData>
    <row r="1" spans="1:19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92</v>
      </c>
      <c r="K1" s="2" t="s">
        <v>9</v>
      </c>
      <c r="L1" s="2" t="s">
        <v>93</v>
      </c>
      <c r="M1" s="2" t="s">
        <v>10</v>
      </c>
      <c r="N1" s="2" t="s">
        <v>94</v>
      </c>
      <c r="O1" s="2" t="s">
        <v>11</v>
      </c>
      <c r="P1" s="2" t="s">
        <v>95</v>
      </c>
      <c r="Q1" s="2" t="s">
        <v>12</v>
      </c>
      <c r="R1" s="2" t="s">
        <v>96</v>
      </c>
      <c r="S1" s="2" t="s">
        <v>104</v>
      </c>
    </row>
    <row r="2" spans="1:19" ht="13.8" customHeight="1" x14ac:dyDescent="0.3">
      <c r="A2" s="2" t="s">
        <v>114</v>
      </c>
      <c r="B2" s="2" t="s">
        <v>115</v>
      </c>
      <c r="C2" s="2">
        <v>23.585487000000001</v>
      </c>
      <c r="D2" s="2">
        <v>90.648875000000004</v>
      </c>
      <c r="E2" s="2" t="s">
        <v>100</v>
      </c>
      <c r="F2" s="2"/>
      <c r="G2" s="2" t="s">
        <v>116</v>
      </c>
      <c r="H2" s="2" t="s">
        <v>117</v>
      </c>
      <c r="I2" s="2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t="s">
        <v>16</v>
      </c>
      <c r="B3" t="s">
        <v>24</v>
      </c>
      <c r="C3">
        <v>22.378354999999999</v>
      </c>
      <c r="D3">
        <v>87.281773000000001</v>
      </c>
      <c r="E3" t="s">
        <v>25</v>
      </c>
      <c r="G3" t="s">
        <v>22</v>
      </c>
      <c r="H3" t="s">
        <v>19</v>
      </c>
      <c r="I3" t="s">
        <v>14</v>
      </c>
      <c r="J3">
        <f>0.99*1000000</f>
        <v>990000</v>
      </c>
      <c r="K3" s="2">
        <f>Sheet1!$D$5</f>
        <v>3.81E-3</v>
      </c>
      <c r="L3" s="2">
        <f t="shared" ref="L3:L8" si="0">J3*K3</f>
        <v>3771.9</v>
      </c>
      <c r="M3" s="2">
        <f>Sheet1!$D$2</f>
        <v>2.5099999999999996E-3</v>
      </c>
      <c r="N3" s="2">
        <f t="shared" ref="N3:N8" si="1">J3*M3</f>
        <v>2484.8999999999996</v>
      </c>
      <c r="O3" s="2">
        <f>Sheet1!$D$3</f>
        <v>1.4399999999999999E-3</v>
      </c>
      <c r="P3" s="2">
        <f t="shared" ref="P3:P8" si="2">J3*O3</f>
        <v>1425.6</v>
      </c>
      <c r="Q3" s="2">
        <f>Sheet1!$D$4</f>
        <v>4.6999999999999999E-4</v>
      </c>
      <c r="R3" s="2">
        <f t="shared" ref="R3:R8" si="3">Q3*J3</f>
        <v>465.3</v>
      </c>
    </row>
    <row r="4" spans="1:19" x14ac:dyDescent="0.3">
      <c r="A4" t="s">
        <v>20</v>
      </c>
      <c r="B4" t="s">
        <v>27</v>
      </c>
      <c r="C4">
        <v>23.665198</v>
      </c>
      <c r="D4">
        <v>86.917455000000004</v>
      </c>
      <c r="E4" t="s">
        <v>25</v>
      </c>
      <c r="G4" t="s">
        <v>22</v>
      </c>
      <c r="H4" t="s">
        <v>19</v>
      </c>
      <c r="I4" t="s">
        <v>14</v>
      </c>
      <c r="K4" s="2">
        <f>Sheet1!$D$5</f>
        <v>3.81E-3</v>
      </c>
      <c r="L4" s="2">
        <f t="shared" si="0"/>
        <v>0</v>
      </c>
      <c r="M4" s="2">
        <f>Sheet1!$D$2</f>
        <v>2.5099999999999996E-3</v>
      </c>
      <c r="N4" s="2">
        <f t="shared" si="1"/>
        <v>0</v>
      </c>
      <c r="O4" s="2">
        <f>Sheet1!$D$3</f>
        <v>1.4399999999999999E-3</v>
      </c>
      <c r="P4" s="2">
        <f t="shared" si="2"/>
        <v>0</v>
      </c>
      <c r="Q4" s="2">
        <f>Sheet1!$D$4</f>
        <v>4.6999999999999999E-4</v>
      </c>
      <c r="R4" s="2">
        <f t="shared" si="3"/>
        <v>0</v>
      </c>
    </row>
    <row r="5" spans="1:19" x14ac:dyDescent="0.3">
      <c r="A5" t="s">
        <v>23</v>
      </c>
      <c r="B5" t="s">
        <v>31</v>
      </c>
      <c r="C5">
        <v>22.385611000000001</v>
      </c>
      <c r="D5">
        <v>87.287178999999995</v>
      </c>
      <c r="E5" t="s">
        <v>25</v>
      </c>
      <c r="G5" t="s">
        <v>22</v>
      </c>
      <c r="H5" t="s">
        <v>19</v>
      </c>
      <c r="I5" t="s">
        <v>14</v>
      </c>
      <c r="K5" s="2">
        <f>Sheet1!$D$5</f>
        <v>3.81E-3</v>
      </c>
      <c r="L5" s="2">
        <f t="shared" si="0"/>
        <v>0</v>
      </c>
      <c r="M5" s="2">
        <f>Sheet1!$D$2</f>
        <v>2.5099999999999996E-3</v>
      </c>
      <c r="N5" s="2">
        <f t="shared" si="1"/>
        <v>0</v>
      </c>
      <c r="O5" s="2">
        <f>Sheet1!$D$3</f>
        <v>1.4399999999999999E-3</v>
      </c>
      <c r="P5" s="2">
        <f t="shared" si="2"/>
        <v>0</v>
      </c>
      <c r="Q5" s="2">
        <f>Sheet1!$D$4</f>
        <v>4.6999999999999999E-4</v>
      </c>
      <c r="R5" s="2">
        <f t="shared" si="3"/>
        <v>0</v>
      </c>
    </row>
    <row r="6" spans="1:19" x14ac:dyDescent="0.3">
      <c r="A6" t="s">
        <v>26</v>
      </c>
      <c r="B6" t="s">
        <v>143</v>
      </c>
      <c r="C6">
        <v>23.776212999999998</v>
      </c>
      <c r="D6">
        <v>86.866906</v>
      </c>
      <c r="G6" t="s">
        <v>22</v>
      </c>
      <c r="H6" t="s">
        <v>19</v>
      </c>
      <c r="I6" t="s">
        <v>14</v>
      </c>
      <c r="J6">
        <v>413365</v>
      </c>
      <c r="K6" s="2">
        <f>Sheet1!$D$5</f>
        <v>3.81E-3</v>
      </c>
      <c r="L6" s="2">
        <f t="shared" si="0"/>
        <v>1574.92065</v>
      </c>
      <c r="M6" s="2">
        <f>Sheet1!$D$2</f>
        <v>2.5099999999999996E-3</v>
      </c>
      <c r="N6" s="2">
        <f t="shared" si="1"/>
        <v>1037.5461499999999</v>
      </c>
      <c r="O6" s="2">
        <f>Sheet1!$D$3</f>
        <v>1.4399999999999999E-3</v>
      </c>
      <c r="P6" s="2">
        <f t="shared" si="2"/>
        <v>595.24559999999997</v>
      </c>
      <c r="Q6" s="2">
        <f>Sheet1!$D$4</f>
        <v>4.6999999999999999E-4</v>
      </c>
      <c r="R6" s="2">
        <f t="shared" si="3"/>
        <v>194.28154999999998</v>
      </c>
    </row>
    <row r="7" spans="1:19" x14ac:dyDescent="0.3">
      <c r="A7" t="s">
        <v>28</v>
      </c>
      <c r="B7" t="s">
        <v>17</v>
      </c>
      <c r="C7">
        <v>29.127253</v>
      </c>
      <c r="D7">
        <v>75.773075000000006</v>
      </c>
      <c r="G7" t="s">
        <v>18</v>
      </c>
      <c r="H7" t="s">
        <v>19</v>
      </c>
      <c r="I7" t="s">
        <v>14</v>
      </c>
      <c r="K7" s="2">
        <f>Sheet1!$D$5</f>
        <v>3.81E-3</v>
      </c>
      <c r="L7" s="2">
        <f t="shared" si="0"/>
        <v>0</v>
      </c>
      <c r="M7" s="2">
        <f>Sheet1!$D$2</f>
        <v>2.5099999999999996E-3</v>
      </c>
      <c r="N7" s="2">
        <f t="shared" si="1"/>
        <v>0</v>
      </c>
      <c r="O7" s="2">
        <f>Sheet1!$D$3</f>
        <v>1.4399999999999999E-3</v>
      </c>
      <c r="P7" s="2">
        <f t="shared" si="2"/>
        <v>0</v>
      </c>
      <c r="Q7" s="2">
        <f>Sheet1!$D$4</f>
        <v>4.6999999999999999E-4</v>
      </c>
      <c r="R7" s="2">
        <f t="shared" si="3"/>
        <v>0</v>
      </c>
    </row>
    <row r="8" spans="1:19" x14ac:dyDescent="0.3">
      <c r="A8" t="s">
        <v>29</v>
      </c>
      <c r="B8" t="s">
        <v>21</v>
      </c>
      <c r="C8">
        <v>22.976512</v>
      </c>
      <c r="D8">
        <v>88.461179999999999</v>
      </c>
      <c r="G8" t="s">
        <v>22</v>
      </c>
      <c r="H8" t="s">
        <v>19</v>
      </c>
      <c r="I8" t="s">
        <v>14</v>
      </c>
      <c r="K8" s="2">
        <f>Sheet1!$D$5</f>
        <v>3.81E-3</v>
      </c>
      <c r="L8" s="2">
        <f t="shared" si="0"/>
        <v>0</v>
      </c>
      <c r="M8" s="2">
        <f>Sheet1!$D$2</f>
        <v>2.5099999999999996E-3</v>
      </c>
      <c r="N8" s="2">
        <f t="shared" si="1"/>
        <v>0</v>
      </c>
      <c r="O8" s="2">
        <f>Sheet1!$D$3</f>
        <v>1.4399999999999999E-3</v>
      </c>
      <c r="P8" s="2">
        <f t="shared" si="2"/>
        <v>0</v>
      </c>
      <c r="Q8" s="2">
        <f>Sheet1!$D$4</f>
        <v>4.6999999999999999E-4</v>
      </c>
      <c r="R8" s="2">
        <f t="shared" si="3"/>
        <v>0</v>
      </c>
    </row>
    <row r="9" spans="1:19" x14ac:dyDescent="0.3">
      <c r="A9" t="s">
        <v>30</v>
      </c>
      <c r="B9" t="s">
        <v>51</v>
      </c>
      <c r="C9">
        <v>28.648921000000001</v>
      </c>
      <c r="D9">
        <v>77.331907000000001</v>
      </c>
      <c r="G9" t="s">
        <v>33</v>
      </c>
      <c r="H9" t="s">
        <v>19</v>
      </c>
      <c r="I9" t="s">
        <v>14</v>
      </c>
      <c r="K9" s="2">
        <f>Sheet1!$D$5</f>
        <v>3.81E-3</v>
      </c>
      <c r="L9" s="2">
        <f t="shared" ref="L9:L13" si="4">J9*K9</f>
        <v>0</v>
      </c>
      <c r="M9" s="2">
        <f>Sheet1!$D$2</f>
        <v>2.5099999999999996E-3</v>
      </c>
      <c r="N9" s="2">
        <f t="shared" ref="N9:N13" si="5">J9*M9</f>
        <v>0</v>
      </c>
      <c r="O9" s="2">
        <f>Sheet1!$D$3</f>
        <v>1.4399999999999999E-3</v>
      </c>
      <c r="P9" s="2">
        <f t="shared" ref="P9:P13" si="6">J9*O9</f>
        <v>0</v>
      </c>
      <c r="Q9" s="2">
        <f>Sheet1!$D$4</f>
        <v>4.6999999999999999E-4</v>
      </c>
      <c r="R9" s="2">
        <f t="shared" ref="R9:R13" si="7">Q9*J9</f>
        <v>0</v>
      </c>
    </row>
    <row r="10" spans="1:19" x14ac:dyDescent="0.3">
      <c r="A10" t="s">
        <v>32</v>
      </c>
      <c r="B10" t="s">
        <v>113</v>
      </c>
      <c r="C10">
        <v>22.364258</v>
      </c>
      <c r="D10">
        <v>87.309047000000007</v>
      </c>
      <c r="E10" t="s">
        <v>98</v>
      </c>
      <c r="H10" t="s">
        <v>19</v>
      </c>
      <c r="I10" t="s">
        <v>14</v>
      </c>
      <c r="J10">
        <v>47000</v>
      </c>
      <c r="K10" s="2">
        <f>Sheet1!$D$5</f>
        <v>3.81E-3</v>
      </c>
      <c r="L10" s="2">
        <f t="shared" si="4"/>
        <v>179.07</v>
      </c>
      <c r="M10" s="2">
        <f>Sheet1!$D$2</f>
        <v>2.5099999999999996E-3</v>
      </c>
      <c r="N10" s="2">
        <f t="shared" si="5"/>
        <v>117.96999999999998</v>
      </c>
      <c r="O10" s="2">
        <f>Sheet1!$D$3</f>
        <v>1.4399999999999999E-3</v>
      </c>
      <c r="P10" s="2">
        <f t="shared" si="6"/>
        <v>67.679999999999993</v>
      </c>
      <c r="Q10" s="2">
        <f>Sheet1!$D$4</f>
        <v>4.6999999999999999E-4</v>
      </c>
      <c r="R10" s="2">
        <f t="shared" si="7"/>
        <v>22.09</v>
      </c>
    </row>
    <row r="11" spans="1:19" x14ac:dyDescent="0.3">
      <c r="A11" t="s">
        <v>34</v>
      </c>
      <c r="B11" t="s">
        <v>35</v>
      </c>
      <c r="C11">
        <v>31.583477999999999</v>
      </c>
      <c r="D11">
        <v>75.950789999999998</v>
      </c>
      <c r="G11" t="s">
        <v>36</v>
      </c>
      <c r="H11" t="s">
        <v>19</v>
      </c>
      <c r="I11" t="s">
        <v>14</v>
      </c>
      <c r="K11" s="2">
        <f>Sheet1!$D$5</f>
        <v>3.81E-3</v>
      </c>
      <c r="L11" s="2">
        <f t="shared" si="4"/>
        <v>0</v>
      </c>
      <c r="M11" s="2">
        <f>Sheet1!$D$2</f>
        <v>2.5099999999999996E-3</v>
      </c>
      <c r="N11" s="2">
        <f t="shared" si="5"/>
        <v>0</v>
      </c>
      <c r="O11" s="2">
        <f>Sheet1!$D$3</f>
        <v>1.4399999999999999E-3</v>
      </c>
      <c r="P11" s="2">
        <f t="shared" si="6"/>
        <v>0</v>
      </c>
      <c r="Q11" s="2">
        <f>Sheet1!$D$4</f>
        <v>4.6999999999999999E-4</v>
      </c>
      <c r="R11" s="2">
        <f t="shared" si="7"/>
        <v>0</v>
      </c>
    </row>
    <row r="12" spans="1:19" x14ac:dyDescent="0.3">
      <c r="A12" t="s">
        <v>37</v>
      </c>
      <c r="B12" t="s">
        <v>112</v>
      </c>
      <c r="C12">
        <v>22.362778827755601</v>
      </c>
      <c r="D12">
        <v>87.299040000000005</v>
      </c>
      <c r="E12" t="s">
        <v>98</v>
      </c>
      <c r="H12" t="s">
        <v>19</v>
      </c>
      <c r="I12" t="s">
        <v>14</v>
      </c>
      <c r="J12">
        <v>43000</v>
      </c>
      <c r="K12" s="2">
        <f>Sheet1!$D$5</f>
        <v>3.81E-3</v>
      </c>
      <c r="L12" s="2">
        <f t="shared" si="4"/>
        <v>163.83000000000001</v>
      </c>
      <c r="M12" s="2">
        <f>Sheet1!$D$2</f>
        <v>2.5099999999999996E-3</v>
      </c>
      <c r="N12" s="2">
        <f t="shared" si="5"/>
        <v>107.92999999999998</v>
      </c>
      <c r="O12" s="2">
        <f>Sheet1!$D$3</f>
        <v>1.4399999999999999E-3</v>
      </c>
      <c r="P12" s="2">
        <f t="shared" si="6"/>
        <v>61.919999999999995</v>
      </c>
      <c r="Q12" s="2">
        <f>Sheet1!$D$4</f>
        <v>4.6999999999999999E-4</v>
      </c>
      <c r="R12" s="2">
        <f t="shared" si="7"/>
        <v>20.21</v>
      </c>
    </row>
    <row r="13" spans="1:19" x14ac:dyDescent="0.3">
      <c r="A13" t="s">
        <v>38</v>
      </c>
      <c r="B13" t="s">
        <v>111</v>
      </c>
      <c r="C13">
        <v>23.483840000000001</v>
      </c>
      <c r="D13">
        <v>87.359863000000004</v>
      </c>
      <c r="H13" t="s">
        <v>19</v>
      </c>
      <c r="I13" t="s">
        <v>14</v>
      </c>
      <c r="J13">
        <v>25000</v>
      </c>
      <c r="K13" s="2">
        <f>Sheet1!$D$5</f>
        <v>3.81E-3</v>
      </c>
      <c r="L13" s="2">
        <f t="shared" si="4"/>
        <v>95.25</v>
      </c>
      <c r="M13" s="2">
        <f>Sheet1!$D$2</f>
        <v>2.5099999999999996E-3</v>
      </c>
      <c r="N13" s="2">
        <f t="shared" si="5"/>
        <v>62.749999999999993</v>
      </c>
      <c r="O13" s="2">
        <f>Sheet1!$D$3</f>
        <v>1.4399999999999999E-3</v>
      </c>
      <c r="P13" s="2">
        <f t="shared" si="6"/>
        <v>36</v>
      </c>
      <c r="Q13" s="2">
        <f>Sheet1!$D$4</f>
        <v>4.6999999999999999E-4</v>
      </c>
      <c r="R13" s="2">
        <f t="shared" si="7"/>
        <v>11.75</v>
      </c>
    </row>
    <row r="14" spans="1:19" x14ac:dyDescent="0.3">
      <c r="A14" t="s">
        <v>39</v>
      </c>
      <c r="B14" t="s">
        <v>144</v>
      </c>
      <c r="C14">
        <v>28.097508000000001</v>
      </c>
      <c r="D14">
        <v>76.582409999999996</v>
      </c>
      <c r="G14" t="s">
        <v>18</v>
      </c>
      <c r="H14" t="s">
        <v>19</v>
      </c>
      <c r="I14" t="s">
        <v>14</v>
      </c>
      <c r="J14">
        <f>1.8*1000000</f>
        <v>1800000</v>
      </c>
      <c r="K14" s="2">
        <f>Sheet1!$D$5</f>
        <v>3.81E-3</v>
      </c>
      <c r="L14" s="2">
        <f t="shared" ref="L14:L18" si="8">J14*K14</f>
        <v>6858</v>
      </c>
      <c r="M14" s="2">
        <f>Sheet1!$D$2</f>
        <v>2.5099999999999996E-3</v>
      </c>
      <c r="N14" s="2">
        <f t="shared" ref="N14:N18" si="9">J14*M14</f>
        <v>4517.9999999999991</v>
      </c>
      <c r="O14" s="2">
        <f>Sheet1!$D$3</f>
        <v>1.4399999999999999E-3</v>
      </c>
      <c r="P14" s="2">
        <f t="shared" ref="P14:P18" si="10">J14*O14</f>
        <v>2592</v>
      </c>
      <c r="Q14" s="2">
        <f>Sheet1!$D$4</f>
        <v>4.6999999999999999E-4</v>
      </c>
      <c r="R14" s="2">
        <f t="shared" ref="R14:R18" si="11">Q14*J14</f>
        <v>846</v>
      </c>
    </row>
    <row r="15" spans="1:19" x14ac:dyDescent="0.3">
      <c r="A15" t="s">
        <v>40</v>
      </c>
      <c r="B15" t="s">
        <v>145</v>
      </c>
      <c r="C15">
        <v>28.734515999999999</v>
      </c>
      <c r="D15">
        <v>76.842644000000007</v>
      </c>
      <c r="G15" t="s">
        <v>18</v>
      </c>
      <c r="H15" t="s">
        <v>19</v>
      </c>
      <c r="I15" t="s">
        <v>14</v>
      </c>
      <c r="J15">
        <v>300000</v>
      </c>
      <c r="K15" s="2">
        <f>Sheet1!$D$5</f>
        <v>3.81E-3</v>
      </c>
      <c r="L15" s="2">
        <f t="shared" si="8"/>
        <v>1143</v>
      </c>
      <c r="M15" s="2">
        <f>Sheet1!$D$2</f>
        <v>2.5099999999999996E-3</v>
      </c>
      <c r="N15" s="2">
        <f t="shared" si="9"/>
        <v>752.99999999999989</v>
      </c>
      <c r="O15" s="2">
        <f>Sheet1!$D$3</f>
        <v>1.4399999999999999E-3</v>
      </c>
      <c r="P15" s="2">
        <f t="shared" si="10"/>
        <v>431.99999999999994</v>
      </c>
      <c r="Q15" s="2">
        <f>Sheet1!$D$4</f>
        <v>4.6999999999999999E-4</v>
      </c>
      <c r="R15" s="2">
        <f t="shared" si="11"/>
        <v>141</v>
      </c>
    </row>
    <row r="16" spans="1:19" x14ac:dyDescent="0.3">
      <c r="A16" t="s">
        <v>41</v>
      </c>
      <c r="B16" t="s">
        <v>146</v>
      </c>
      <c r="C16">
        <v>30.651464000000001</v>
      </c>
      <c r="D16">
        <v>76.317017000000007</v>
      </c>
      <c r="G16" t="s">
        <v>36</v>
      </c>
      <c r="H16" t="s">
        <v>19</v>
      </c>
      <c r="I16" t="s">
        <v>14</v>
      </c>
      <c r="J16">
        <v>300000</v>
      </c>
      <c r="K16" s="2">
        <f>Sheet1!$D$5</f>
        <v>3.81E-3</v>
      </c>
      <c r="L16" s="2">
        <f t="shared" si="8"/>
        <v>1143</v>
      </c>
      <c r="M16" s="2">
        <f>Sheet1!$D$2</f>
        <v>2.5099999999999996E-3</v>
      </c>
      <c r="N16" s="2">
        <f t="shared" si="9"/>
        <v>752.99999999999989</v>
      </c>
      <c r="O16" s="2">
        <f>Sheet1!$D$3</f>
        <v>1.4399999999999999E-3</v>
      </c>
      <c r="P16" s="2">
        <f t="shared" si="10"/>
        <v>431.99999999999994</v>
      </c>
      <c r="Q16" s="2">
        <f>Sheet1!$D$4</f>
        <v>4.6999999999999999E-4</v>
      </c>
      <c r="R16" s="2">
        <f t="shared" si="11"/>
        <v>141</v>
      </c>
    </row>
    <row r="17" spans="1:19" x14ac:dyDescent="0.3">
      <c r="A17" t="s">
        <v>42</v>
      </c>
      <c r="C17">
        <v>30.845731000000001</v>
      </c>
      <c r="D17">
        <v>75.960442</v>
      </c>
      <c r="G17" t="s">
        <v>36</v>
      </c>
      <c r="H17" t="s">
        <v>19</v>
      </c>
      <c r="I17" t="s">
        <v>14</v>
      </c>
      <c r="K17" s="2">
        <f>Sheet1!$D$5</f>
        <v>3.81E-3</v>
      </c>
      <c r="L17" s="2">
        <f t="shared" si="8"/>
        <v>0</v>
      </c>
      <c r="M17" s="2">
        <f>Sheet1!$D$2</f>
        <v>2.5099999999999996E-3</v>
      </c>
      <c r="N17" s="2">
        <f t="shared" si="9"/>
        <v>0</v>
      </c>
      <c r="O17" s="2">
        <f>Sheet1!$D$3</f>
        <v>1.4399999999999999E-3</v>
      </c>
      <c r="P17" s="2">
        <f t="shared" si="10"/>
        <v>0</v>
      </c>
      <c r="Q17" s="2">
        <f>Sheet1!$D$4</f>
        <v>4.6999999999999999E-4</v>
      </c>
      <c r="R17" s="2">
        <f t="shared" si="11"/>
        <v>0</v>
      </c>
    </row>
    <row r="18" spans="1:19" x14ac:dyDescent="0.3">
      <c r="A18" t="s">
        <v>43</v>
      </c>
      <c r="B18" t="s">
        <v>136</v>
      </c>
      <c r="C18">
        <v>30.890103</v>
      </c>
      <c r="D18">
        <v>75.908600000000007</v>
      </c>
      <c r="E18" t="s">
        <v>100</v>
      </c>
      <c r="G18" t="s">
        <v>36</v>
      </c>
      <c r="H18" t="s">
        <v>19</v>
      </c>
      <c r="I18" t="s">
        <v>14</v>
      </c>
      <c r="K18" s="2">
        <f>Sheet1!$D$5</f>
        <v>3.81E-3</v>
      </c>
      <c r="L18" s="2">
        <f t="shared" si="8"/>
        <v>0</v>
      </c>
      <c r="M18" s="2">
        <f>Sheet1!$D$2</f>
        <v>2.5099999999999996E-3</v>
      </c>
      <c r="N18" s="2">
        <f t="shared" si="9"/>
        <v>0</v>
      </c>
      <c r="O18" s="2">
        <f>Sheet1!$D$3</f>
        <v>1.4399999999999999E-3</v>
      </c>
      <c r="P18" s="2">
        <f t="shared" si="10"/>
        <v>0</v>
      </c>
      <c r="Q18" s="2">
        <f>Sheet1!$D$4</f>
        <v>4.6999999999999999E-4</v>
      </c>
      <c r="R18" s="2">
        <f t="shared" si="11"/>
        <v>0</v>
      </c>
    </row>
    <row r="19" spans="1:19" x14ac:dyDescent="0.3">
      <c r="A19" t="s">
        <v>44</v>
      </c>
      <c r="B19" t="s">
        <v>105</v>
      </c>
      <c r="C19">
        <v>26.7589246246907</v>
      </c>
      <c r="D19">
        <v>83.201639998467698</v>
      </c>
      <c r="E19" t="s">
        <v>98</v>
      </c>
      <c r="H19" t="s">
        <v>19</v>
      </c>
      <c r="I19" t="s">
        <v>14</v>
      </c>
      <c r="J19">
        <v>35000</v>
      </c>
      <c r="K19">
        <f>Sheet1!$D$5</f>
        <v>3.81E-3</v>
      </c>
      <c r="L19">
        <f t="shared" ref="L19" si="12">J19*K19</f>
        <v>133.35</v>
      </c>
      <c r="M19">
        <f>Sheet1!$D$2</f>
        <v>2.5099999999999996E-3</v>
      </c>
      <c r="N19">
        <f t="shared" ref="N19" si="13">J19*M19</f>
        <v>87.85</v>
      </c>
      <c r="O19">
        <f>Sheet1!$D$3</f>
        <v>1.4399999999999999E-3</v>
      </c>
      <c r="P19">
        <f t="shared" ref="P19" si="14">J19*O19</f>
        <v>50.4</v>
      </c>
      <c r="Q19">
        <f>Sheet1!$D$4</f>
        <v>4.6999999999999999E-4</v>
      </c>
      <c r="R19">
        <f t="shared" ref="R19" si="15">Q19*J19</f>
        <v>16.45</v>
      </c>
      <c r="S19" t="s">
        <v>103</v>
      </c>
    </row>
    <row r="20" spans="1:19" x14ac:dyDescent="0.3">
      <c r="A20" t="s">
        <v>45</v>
      </c>
      <c r="B20" t="s">
        <v>106</v>
      </c>
      <c r="C20">
        <v>23.665568220238999</v>
      </c>
      <c r="D20">
        <v>86.920611170000001</v>
      </c>
      <c r="E20" t="s">
        <v>98</v>
      </c>
      <c r="H20" t="s">
        <v>19</v>
      </c>
      <c r="I20" t="s">
        <v>14</v>
      </c>
      <c r="J20">
        <v>220000</v>
      </c>
      <c r="K20">
        <f>Sheet1!$D$5</f>
        <v>3.81E-3</v>
      </c>
      <c r="L20">
        <f t="shared" ref="L20" si="16">J20*K20</f>
        <v>838.2</v>
      </c>
      <c r="M20">
        <f>Sheet1!$D$2</f>
        <v>2.5099999999999996E-3</v>
      </c>
      <c r="N20">
        <f t="shared" ref="N20" si="17">J20*M20</f>
        <v>552.19999999999993</v>
      </c>
      <c r="O20">
        <f>Sheet1!$D$3</f>
        <v>1.4399999999999999E-3</v>
      </c>
      <c r="P20">
        <f t="shared" ref="P20" si="18">J20*O20</f>
        <v>316.79999999999995</v>
      </c>
      <c r="Q20">
        <f>Sheet1!$D$4</f>
        <v>4.6999999999999999E-4</v>
      </c>
      <c r="R20">
        <f t="shared" ref="R20" si="19">Q20*J20</f>
        <v>103.39999999999999</v>
      </c>
      <c r="S20" t="s">
        <v>103</v>
      </c>
    </row>
    <row r="21" spans="1:19" x14ac:dyDescent="0.3">
      <c r="A21" t="s">
        <v>46</v>
      </c>
      <c r="B21" t="s">
        <v>107</v>
      </c>
      <c r="C21">
        <v>23.6885480646202</v>
      </c>
      <c r="D21">
        <v>87.122777999999997</v>
      </c>
      <c r="E21" t="s">
        <v>98</v>
      </c>
      <c r="H21" t="s">
        <v>19</v>
      </c>
      <c r="I21" t="s">
        <v>14</v>
      </c>
      <c r="J21">
        <v>98000</v>
      </c>
      <c r="K21">
        <f>Sheet1!$D$5</f>
        <v>3.81E-3</v>
      </c>
      <c r="L21">
        <f t="shared" ref="L21" si="20">J21*K21</f>
        <v>373.38</v>
      </c>
      <c r="M21">
        <f>Sheet1!$D$2</f>
        <v>2.5099999999999996E-3</v>
      </c>
      <c r="N21">
        <f t="shared" ref="N21" si="21">J21*M21</f>
        <v>245.97999999999996</v>
      </c>
      <c r="O21">
        <f>Sheet1!$D$3</f>
        <v>1.4399999999999999E-3</v>
      </c>
      <c r="P21">
        <f t="shared" ref="P21" si="22">J21*O21</f>
        <v>141.11999999999998</v>
      </c>
      <c r="Q21">
        <f>Sheet1!$D$4</f>
        <v>4.6999999999999999E-4</v>
      </c>
      <c r="R21">
        <f t="shared" ref="R21" si="23">Q21*J21</f>
        <v>46.059999999999995</v>
      </c>
      <c r="S21" t="s">
        <v>103</v>
      </c>
    </row>
    <row r="22" spans="1:19" x14ac:dyDescent="0.3">
      <c r="A22" t="s">
        <v>47</v>
      </c>
      <c r="B22" t="s">
        <v>108</v>
      </c>
      <c r="C22">
        <v>23.5637135367651</v>
      </c>
      <c r="D22">
        <v>87.086491452182699</v>
      </c>
      <c r="E22" t="s">
        <v>98</v>
      </c>
      <c r="H22" t="s">
        <v>19</v>
      </c>
      <c r="I22" t="s">
        <v>14</v>
      </c>
      <c r="J22">
        <v>11000</v>
      </c>
      <c r="K22">
        <f>Sheet1!$D$5</f>
        <v>3.81E-3</v>
      </c>
      <c r="L22">
        <f t="shared" ref="L22" si="24">J22*K22</f>
        <v>41.910000000000004</v>
      </c>
      <c r="M22">
        <f>Sheet1!$D$2</f>
        <v>2.5099999999999996E-3</v>
      </c>
      <c r="N22">
        <f t="shared" ref="N22" si="25">J22*M22</f>
        <v>27.609999999999996</v>
      </c>
      <c r="O22">
        <f>Sheet1!$D$3</f>
        <v>1.4399999999999999E-3</v>
      </c>
      <c r="P22">
        <f t="shared" ref="P22" si="26">J22*O22</f>
        <v>15.839999999999998</v>
      </c>
      <c r="Q22">
        <f>Sheet1!$D$4</f>
        <v>4.6999999999999999E-4</v>
      </c>
      <c r="R22">
        <f t="shared" ref="R22" si="27">Q22*J22</f>
        <v>5.17</v>
      </c>
      <c r="S22" t="s">
        <v>103</v>
      </c>
    </row>
    <row r="23" spans="1:19" x14ac:dyDescent="0.3">
      <c r="A23" t="s">
        <v>48</v>
      </c>
      <c r="B23" t="s">
        <v>109</v>
      </c>
      <c r="C23">
        <v>23.55029743699</v>
      </c>
      <c r="D23">
        <v>87.246696999999998</v>
      </c>
      <c r="E23" t="s">
        <v>98</v>
      </c>
      <c r="H23" t="s">
        <v>19</v>
      </c>
      <c r="I23" t="s">
        <v>14</v>
      </c>
      <c r="J23">
        <v>190000</v>
      </c>
      <c r="K23">
        <f>Sheet1!$D$5</f>
        <v>3.81E-3</v>
      </c>
      <c r="L23">
        <f t="shared" ref="L23" si="28">J23*K23</f>
        <v>723.9</v>
      </c>
      <c r="M23">
        <f>Sheet1!$D$2</f>
        <v>2.5099999999999996E-3</v>
      </c>
      <c r="N23">
        <f t="shared" ref="N23" si="29">J23*M23</f>
        <v>476.89999999999992</v>
      </c>
      <c r="O23">
        <f>Sheet1!$D$3</f>
        <v>1.4399999999999999E-3</v>
      </c>
      <c r="P23">
        <f t="shared" ref="P23" si="30">J23*O23</f>
        <v>273.59999999999997</v>
      </c>
      <c r="Q23">
        <f>Sheet1!$D$4</f>
        <v>4.6999999999999999E-4</v>
      </c>
      <c r="R23">
        <f t="shared" ref="R23" si="31">Q23*J23</f>
        <v>89.3</v>
      </c>
      <c r="S23" t="s">
        <v>103</v>
      </c>
    </row>
    <row r="24" spans="1:19" x14ac:dyDescent="0.3">
      <c r="A24" t="s">
        <v>49</v>
      </c>
      <c r="B24" t="s">
        <v>110</v>
      </c>
      <c r="C24">
        <v>23.5273377</v>
      </c>
      <c r="D24">
        <v>87.269479000000004</v>
      </c>
      <c r="E24" t="s">
        <v>100</v>
      </c>
      <c r="H24" t="s">
        <v>19</v>
      </c>
      <c r="I24" t="s">
        <v>14</v>
      </c>
      <c r="J24">
        <v>43000</v>
      </c>
      <c r="K24">
        <f>Sheet1!$D$5</f>
        <v>3.81E-3</v>
      </c>
      <c r="L24">
        <f t="shared" ref="L24" si="32">J24*K24</f>
        <v>163.83000000000001</v>
      </c>
      <c r="M24">
        <f>Sheet1!$D$2</f>
        <v>2.5099999999999996E-3</v>
      </c>
      <c r="N24">
        <f t="shared" ref="N24" si="33">J24*M24</f>
        <v>107.92999999999998</v>
      </c>
      <c r="O24">
        <f>Sheet1!$D$3</f>
        <v>1.4399999999999999E-3</v>
      </c>
      <c r="P24">
        <f t="shared" ref="P24" si="34">J24*O24</f>
        <v>61.919999999999995</v>
      </c>
      <c r="Q24">
        <f>Sheet1!$D$4</f>
        <v>4.6999999999999999E-4</v>
      </c>
      <c r="R24">
        <f t="shared" ref="R24" si="35">Q24*J24</f>
        <v>20.21</v>
      </c>
      <c r="S24" t="s">
        <v>103</v>
      </c>
    </row>
    <row r="25" spans="1:19" x14ac:dyDescent="0.3">
      <c r="A25" t="s">
        <v>50</v>
      </c>
      <c r="B25" t="s">
        <v>119</v>
      </c>
      <c r="C25">
        <v>22.331489000000001</v>
      </c>
      <c r="D25">
        <v>87.398084999999995</v>
      </c>
      <c r="E25" t="s">
        <v>98</v>
      </c>
      <c r="G25" t="s">
        <v>22</v>
      </c>
      <c r="H25" t="s">
        <v>19</v>
      </c>
      <c r="I25" t="s">
        <v>14</v>
      </c>
      <c r="J25">
        <v>6200</v>
      </c>
      <c r="K25">
        <f>Sheet1!$D$5</f>
        <v>3.81E-3</v>
      </c>
      <c r="L25">
        <f t="shared" ref="L25" si="36">J25*K25</f>
        <v>23.622</v>
      </c>
      <c r="M25">
        <f>Sheet1!$D$2</f>
        <v>2.5099999999999996E-3</v>
      </c>
      <c r="N25">
        <f t="shared" ref="N25" si="37">J25*M25</f>
        <v>15.561999999999998</v>
      </c>
      <c r="O25">
        <f>Sheet1!$D$3</f>
        <v>1.4399999999999999E-3</v>
      </c>
      <c r="P25">
        <f t="shared" ref="P25" si="38">J25*O25</f>
        <v>8.927999999999999</v>
      </c>
      <c r="Q25">
        <f>Sheet1!$D$4</f>
        <v>4.6999999999999999E-4</v>
      </c>
      <c r="R25">
        <f t="shared" ref="R25" si="39">Q25*J25</f>
        <v>2.9139999999999997</v>
      </c>
      <c r="S25" t="s">
        <v>103</v>
      </c>
    </row>
    <row r="26" spans="1:19" x14ac:dyDescent="0.3">
      <c r="A26" t="s">
        <v>118</v>
      </c>
      <c r="B26" t="s">
        <v>120</v>
      </c>
      <c r="C26">
        <v>22.359100000000002</v>
      </c>
      <c r="D26">
        <v>87.017184</v>
      </c>
      <c r="E26" t="s">
        <v>53</v>
      </c>
      <c r="G26" t="s">
        <v>22</v>
      </c>
      <c r="H26" t="s">
        <v>19</v>
      </c>
      <c r="I26" t="s">
        <v>14</v>
      </c>
      <c r="J26">
        <v>6400</v>
      </c>
      <c r="K26">
        <f>Sheet1!$D$5</f>
        <v>3.81E-3</v>
      </c>
      <c r="L26">
        <f t="shared" ref="L26:L28" si="40">J26*K26</f>
        <v>24.384</v>
      </c>
      <c r="M26">
        <f>Sheet1!$D$2</f>
        <v>2.5099999999999996E-3</v>
      </c>
      <c r="N26">
        <f t="shared" ref="N26:N28" si="41">J26*M26</f>
        <v>16.063999999999997</v>
      </c>
      <c r="O26">
        <f>Sheet1!$D$3</f>
        <v>1.4399999999999999E-3</v>
      </c>
      <c r="P26">
        <f t="shared" ref="P26:P28" si="42">J26*O26</f>
        <v>9.2159999999999993</v>
      </c>
      <c r="Q26">
        <f>Sheet1!$D$4</f>
        <v>4.6999999999999999E-4</v>
      </c>
      <c r="R26">
        <f t="shared" ref="R26:R28" si="43">Q26*J26</f>
        <v>3.008</v>
      </c>
    </row>
    <row r="27" spans="1:19" x14ac:dyDescent="0.3">
      <c r="A27" t="s">
        <v>121</v>
      </c>
      <c r="B27" t="s">
        <v>122</v>
      </c>
      <c r="C27">
        <v>22.575726</v>
      </c>
      <c r="D27">
        <v>87.310258000000005</v>
      </c>
      <c r="E27" t="s">
        <v>98</v>
      </c>
      <c r="G27" t="s">
        <v>22</v>
      </c>
      <c r="H27" t="s">
        <v>19</v>
      </c>
      <c r="I27" t="s">
        <v>14</v>
      </c>
      <c r="K27">
        <f>Sheet1!$D$5</f>
        <v>3.81E-3</v>
      </c>
      <c r="L27">
        <f t="shared" si="40"/>
        <v>0</v>
      </c>
      <c r="M27">
        <f>Sheet1!$D$2</f>
        <v>2.5099999999999996E-3</v>
      </c>
      <c r="N27">
        <f t="shared" si="41"/>
        <v>0</v>
      </c>
      <c r="O27">
        <f>Sheet1!$D$3</f>
        <v>1.4399999999999999E-3</v>
      </c>
      <c r="P27">
        <f t="shared" si="42"/>
        <v>0</v>
      </c>
      <c r="Q27">
        <f>Sheet1!$D$4</f>
        <v>4.6999999999999999E-4</v>
      </c>
      <c r="R27">
        <f t="shared" si="43"/>
        <v>0</v>
      </c>
    </row>
    <row r="28" spans="1:19" x14ac:dyDescent="0.3">
      <c r="A28" t="s">
        <v>123</v>
      </c>
      <c r="B28" t="s">
        <v>124</v>
      </c>
      <c r="C28">
        <v>22.855858999999999</v>
      </c>
      <c r="D28">
        <v>87.345017999999996</v>
      </c>
      <c r="G28" t="s">
        <v>22</v>
      </c>
      <c r="H28" t="s">
        <v>19</v>
      </c>
      <c r="I28" t="s">
        <v>14</v>
      </c>
      <c r="K28">
        <f>Sheet1!$D$5</f>
        <v>3.81E-3</v>
      </c>
      <c r="L28">
        <f t="shared" si="40"/>
        <v>0</v>
      </c>
      <c r="M28">
        <f>Sheet1!$D$2</f>
        <v>2.5099999999999996E-3</v>
      </c>
      <c r="N28">
        <f t="shared" si="41"/>
        <v>0</v>
      </c>
      <c r="O28">
        <f>Sheet1!$D$3</f>
        <v>1.4399999999999999E-3</v>
      </c>
      <c r="P28">
        <f t="shared" si="42"/>
        <v>0</v>
      </c>
      <c r="Q28">
        <f>Sheet1!$D$4</f>
        <v>4.6999999999999999E-4</v>
      </c>
      <c r="R28">
        <f t="shared" si="43"/>
        <v>0</v>
      </c>
      <c r="S28" t="s">
        <v>126</v>
      </c>
    </row>
    <row r="29" spans="1:19" x14ac:dyDescent="0.3">
      <c r="A29" t="s">
        <v>125</v>
      </c>
      <c r="B29" t="s">
        <v>128</v>
      </c>
      <c r="C29">
        <v>23.487438999999998</v>
      </c>
      <c r="D29">
        <v>87.369494000000003</v>
      </c>
      <c r="E29" t="s">
        <v>100</v>
      </c>
      <c r="G29" t="s">
        <v>22</v>
      </c>
      <c r="H29" t="s">
        <v>19</v>
      </c>
      <c r="I29" t="s">
        <v>14</v>
      </c>
      <c r="J29">
        <v>1208</v>
      </c>
      <c r="K29">
        <f>Sheet1!$D$5</f>
        <v>3.81E-3</v>
      </c>
      <c r="L29">
        <f t="shared" ref="L29" si="44">J29*K29</f>
        <v>4.6024799999999999</v>
      </c>
      <c r="M29">
        <f>Sheet1!$D$2</f>
        <v>2.5099999999999996E-3</v>
      </c>
      <c r="N29">
        <f t="shared" ref="N29" si="45">J29*M29</f>
        <v>3.0320799999999997</v>
      </c>
      <c r="O29">
        <f>Sheet1!$D$3</f>
        <v>1.4399999999999999E-3</v>
      </c>
      <c r="P29">
        <f t="shared" ref="P29" si="46">J29*O29</f>
        <v>1.73952</v>
      </c>
      <c r="Q29">
        <f>Sheet1!$D$4</f>
        <v>4.6999999999999999E-4</v>
      </c>
      <c r="R29">
        <f t="shared" ref="R29" si="47">Q29*J29</f>
        <v>0.56775999999999993</v>
      </c>
      <c r="S29" t="s">
        <v>129</v>
      </c>
    </row>
    <row r="30" spans="1:19" x14ac:dyDescent="0.3">
      <c r="A30" t="s">
        <v>127</v>
      </c>
      <c r="B30" t="s">
        <v>130</v>
      </c>
      <c r="C30">
        <v>23.507539000000001</v>
      </c>
      <c r="D30">
        <v>87.277913999999996</v>
      </c>
      <c r="E30" t="s">
        <v>53</v>
      </c>
      <c r="G30" t="s">
        <v>22</v>
      </c>
      <c r="H30" t="s">
        <v>19</v>
      </c>
      <c r="I30" t="s">
        <v>14</v>
      </c>
      <c r="K30">
        <f>Sheet1!$D$5</f>
        <v>3.81E-3</v>
      </c>
      <c r="L30">
        <f t="shared" ref="L30" si="48">J30*K30</f>
        <v>0</v>
      </c>
      <c r="M30">
        <f>Sheet1!$D$2</f>
        <v>2.5099999999999996E-3</v>
      </c>
      <c r="N30">
        <f t="shared" ref="N30" si="49">J30*M30</f>
        <v>0</v>
      </c>
      <c r="O30">
        <f>Sheet1!$D$3</f>
        <v>1.4399999999999999E-3</v>
      </c>
      <c r="P30">
        <f t="shared" ref="P30" si="50">J30*O30</f>
        <v>0</v>
      </c>
      <c r="Q30">
        <f>Sheet1!$D$4</f>
        <v>4.6999999999999999E-4</v>
      </c>
      <c r="R30">
        <f t="shared" ref="R30" si="51">Q30*J30</f>
        <v>0</v>
      </c>
      <c r="S30" t="s">
        <v>132</v>
      </c>
    </row>
    <row r="31" spans="1:19" x14ac:dyDescent="0.3">
      <c r="A31" t="s">
        <v>131</v>
      </c>
      <c r="B31" t="s">
        <v>134</v>
      </c>
      <c r="C31">
        <v>23.706343</v>
      </c>
      <c r="D31">
        <v>87.077740000000006</v>
      </c>
      <c r="E31" t="s">
        <v>100</v>
      </c>
      <c r="G31" t="s">
        <v>22</v>
      </c>
      <c r="H31" t="s">
        <v>19</v>
      </c>
      <c r="I31" t="s">
        <v>14</v>
      </c>
      <c r="S31" t="s">
        <v>135</v>
      </c>
    </row>
    <row r="32" spans="1:19" x14ac:dyDescent="0.3">
      <c r="A32" t="s">
        <v>133</v>
      </c>
      <c r="B32" t="s">
        <v>137</v>
      </c>
      <c r="C32">
        <v>30.946888000000001</v>
      </c>
      <c r="D32">
        <v>75.987499999999997</v>
      </c>
      <c r="E32" t="s">
        <v>100</v>
      </c>
      <c r="G32" t="s">
        <v>36</v>
      </c>
      <c r="H32" t="s">
        <v>19</v>
      </c>
      <c r="I32" t="s">
        <v>14</v>
      </c>
      <c r="S32" t="s">
        <v>138</v>
      </c>
    </row>
    <row r="33" spans="1:19" x14ac:dyDescent="0.3">
      <c r="A33" t="s">
        <v>52</v>
      </c>
      <c r="B33" t="s">
        <v>59</v>
      </c>
      <c r="C33">
        <v>24.840713000000001</v>
      </c>
      <c r="D33">
        <v>67.347380000000001</v>
      </c>
      <c r="E33" t="s">
        <v>13</v>
      </c>
      <c r="G33" t="s">
        <v>54</v>
      </c>
      <c r="H33" t="s">
        <v>55</v>
      </c>
      <c r="I33" t="s">
        <v>14</v>
      </c>
      <c r="J33">
        <f>1000000*0.7</f>
        <v>700000</v>
      </c>
      <c r="K33" s="2">
        <f>Sheet1!$D$5</f>
        <v>3.81E-3</v>
      </c>
      <c r="L33" s="2">
        <f t="shared" ref="L33:L41" si="52">J33*K33</f>
        <v>2667</v>
      </c>
      <c r="M33" s="2">
        <f>Sheet1!$D$2</f>
        <v>2.5099999999999996E-3</v>
      </c>
      <c r="N33" s="2">
        <f t="shared" ref="N33:N41" si="53">J33*M33</f>
        <v>1756.9999999999998</v>
      </c>
      <c r="O33" s="2">
        <f>Sheet1!$D$3</f>
        <v>1.4399999999999999E-3</v>
      </c>
      <c r="P33" s="2">
        <f t="shared" ref="P33:P41" si="54">J33*O33</f>
        <v>1007.9999999999999</v>
      </c>
      <c r="Q33" s="2">
        <f>Sheet1!$D$4</f>
        <v>4.6999999999999999E-4</v>
      </c>
      <c r="R33" s="2">
        <f t="shared" ref="R33:R41" si="55">Q33*J33</f>
        <v>329</v>
      </c>
    </row>
    <row r="34" spans="1:19" x14ac:dyDescent="0.3">
      <c r="A34" t="s">
        <v>56</v>
      </c>
      <c r="B34" t="s">
        <v>62</v>
      </c>
      <c r="C34">
        <v>31.610191</v>
      </c>
      <c r="D34">
        <v>74.362307999999999</v>
      </c>
      <c r="G34" t="s">
        <v>36</v>
      </c>
      <c r="H34" t="s">
        <v>55</v>
      </c>
      <c r="I34" t="s">
        <v>14</v>
      </c>
      <c r="K34" s="2">
        <f>Sheet1!$D$5</f>
        <v>3.81E-3</v>
      </c>
      <c r="L34" s="2">
        <f t="shared" si="52"/>
        <v>0</v>
      </c>
      <c r="M34" s="2">
        <f>Sheet1!$D$2</f>
        <v>2.5099999999999996E-3</v>
      </c>
      <c r="N34" s="2">
        <f t="shared" si="53"/>
        <v>0</v>
      </c>
      <c r="O34" s="2">
        <f>Sheet1!$D$3</f>
        <v>1.4399999999999999E-3</v>
      </c>
      <c r="P34" s="2">
        <f t="shared" si="54"/>
        <v>0</v>
      </c>
      <c r="Q34" s="2">
        <f>Sheet1!$D$4</f>
        <v>4.6999999999999999E-4</v>
      </c>
      <c r="R34" s="2">
        <f t="shared" si="55"/>
        <v>0</v>
      </c>
    </row>
    <row r="35" spans="1:19" x14ac:dyDescent="0.3">
      <c r="A35" t="s">
        <v>58</v>
      </c>
      <c r="B35" t="s">
        <v>67</v>
      </c>
      <c r="C35">
        <v>24.96585</v>
      </c>
      <c r="D35">
        <v>67.022604000000001</v>
      </c>
      <c r="E35" t="s">
        <v>15</v>
      </c>
      <c r="G35" t="s">
        <v>54</v>
      </c>
      <c r="H35" t="s">
        <v>55</v>
      </c>
      <c r="I35" t="s">
        <v>14</v>
      </c>
      <c r="J35">
        <f>1000000*0.07</f>
        <v>70000</v>
      </c>
      <c r="K35" s="2">
        <f>Sheet1!$D$5</f>
        <v>3.81E-3</v>
      </c>
      <c r="L35" s="2">
        <f t="shared" si="52"/>
        <v>266.7</v>
      </c>
      <c r="M35" s="2">
        <f>Sheet1!$D$2</f>
        <v>2.5099999999999996E-3</v>
      </c>
      <c r="N35" s="2">
        <f t="shared" si="53"/>
        <v>175.7</v>
      </c>
      <c r="O35" s="2">
        <f>Sheet1!$D$3</f>
        <v>1.4399999999999999E-3</v>
      </c>
      <c r="P35" s="2">
        <f t="shared" si="54"/>
        <v>100.8</v>
      </c>
      <c r="Q35" s="2">
        <f>Sheet1!$D$4</f>
        <v>4.6999999999999999E-4</v>
      </c>
      <c r="R35" s="2">
        <f t="shared" si="55"/>
        <v>32.9</v>
      </c>
    </row>
    <row r="36" spans="1:19" x14ac:dyDescent="0.3">
      <c r="A36" t="s">
        <v>60</v>
      </c>
      <c r="B36" t="s">
        <v>71</v>
      </c>
      <c r="C36">
        <v>24.794878000000001</v>
      </c>
      <c r="D36">
        <v>67.353326999999993</v>
      </c>
      <c r="E36" t="s">
        <v>53</v>
      </c>
      <c r="G36" t="s">
        <v>54</v>
      </c>
      <c r="H36" t="s">
        <v>55</v>
      </c>
      <c r="I36" t="s">
        <v>14</v>
      </c>
      <c r="J36">
        <f>1000000*1.28</f>
        <v>1280000</v>
      </c>
      <c r="K36" s="2">
        <f>Sheet1!$D$5</f>
        <v>3.81E-3</v>
      </c>
      <c r="L36" s="2">
        <f t="shared" si="52"/>
        <v>4876.8</v>
      </c>
      <c r="M36" s="2">
        <f>Sheet1!$D$2</f>
        <v>2.5099999999999996E-3</v>
      </c>
      <c r="N36" s="2">
        <f t="shared" si="53"/>
        <v>3212.7999999999997</v>
      </c>
      <c r="O36" s="2">
        <f>Sheet1!$D$3</f>
        <v>1.4399999999999999E-3</v>
      </c>
      <c r="P36" s="2">
        <f t="shared" si="54"/>
        <v>1843.1999999999998</v>
      </c>
      <c r="Q36" s="2">
        <f>Sheet1!$D$4</f>
        <v>4.6999999999999999E-4</v>
      </c>
      <c r="R36" s="2">
        <f t="shared" si="55"/>
        <v>601.6</v>
      </c>
    </row>
    <row r="37" spans="1:19" x14ac:dyDescent="0.3">
      <c r="A37" t="s">
        <v>61</v>
      </c>
      <c r="B37" t="s">
        <v>57</v>
      </c>
      <c r="C37">
        <v>24.800325999999998</v>
      </c>
      <c r="D37">
        <v>67.504851000000002</v>
      </c>
      <c r="E37" t="s">
        <v>15</v>
      </c>
      <c r="G37" t="s">
        <v>54</v>
      </c>
      <c r="H37" t="s">
        <v>55</v>
      </c>
      <c r="I37" t="s">
        <v>14</v>
      </c>
      <c r="J37">
        <f>1000000*0.9</f>
        <v>900000</v>
      </c>
      <c r="K37" s="2">
        <f>Sheet1!$D$5</f>
        <v>3.81E-3</v>
      </c>
      <c r="L37" s="2">
        <f t="shared" si="52"/>
        <v>3429</v>
      </c>
      <c r="M37" s="2">
        <f>Sheet1!$D$2</f>
        <v>2.5099999999999996E-3</v>
      </c>
      <c r="N37" s="2">
        <f t="shared" si="53"/>
        <v>2258.9999999999995</v>
      </c>
      <c r="O37" s="2">
        <f>Sheet1!$D$3</f>
        <v>1.4399999999999999E-3</v>
      </c>
      <c r="P37" s="2">
        <f t="shared" si="54"/>
        <v>1296</v>
      </c>
      <c r="Q37" s="2">
        <f>Sheet1!$D$4</f>
        <v>4.6999999999999999E-4</v>
      </c>
      <c r="R37" s="2">
        <f t="shared" si="55"/>
        <v>423</v>
      </c>
      <c r="S37" t="s">
        <v>103</v>
      </c>
    </row>
    <row r="38" spans="1:19" x14ac:dyDescent="0.3">
      <c r="A38" t="s">
        <v>64</v>
      </c>
      <c r="B38" t="s">
        <v>75</v>
      </c>
      <c r="C38">
        <v>24.837855000000001</v>
      </c>
      <c r="D38">
        <v>67.231431000000001</v>
      </c>
      <c r="E38" t="s">
        <v>13</v>
      </c>
      <c r="G38" t="s">
        <v>54</v>
      </c>
      <c r="H38" t="s">
        <v>55</v>
      </c>
      <c r="I38" t="s">
        <v>14</v>
      </c>
      <c r="J38">
        <f>1000000*1</f>
        <v>1000000</v>
      </c>
      <c r="K38" s="2">
        <f>Sheet1!$D$5</f>
        <v>3.81E-3</v>
      </c>
      <c r="L38" s="2">
        <f t="shared" si="52"/>
        <v>3810</v>
      </c>
      <c r="M38" s="2">
        <f>Sheet1!$D$2</f>
        <v>2.5099999999999996E-3</v>
      </c>
      <c r="N38" s="2">
        <f t="shared" si="53"/>
        <v>2509.9999999999995</v>
      </c>
      <c r="O38" s="2">
        <f>Sheet1!$D$3</f>
        <v>1.4399999999999999E-3</v>
      </c>
      <c r="P38" s="2">
        <f t="shared" si="54"/>
        <v>1439.9999999999998</v>
      </c>
      <c r="Q38" s="2">
        <f>Sheet1!$D$4</f>
        <v>4.6999999999999999E-4</v>
      </c>
      <c r="R38" s="2">
        <f t="shared" si="55"/>
        <v>470</v>
      </c>
    </row>
    <row r="39" spans="1:19" x14ac:dyDescent="0.3">
      <c r="A39" t="s">
        <v>66</v>
      </c>
      <c r="B39" t="s">
        <v>63</v>
      </c>
      <c r="C39">
        <v>31.258773999999999</v>
      </c>
      <c r="D39">
        <v>74.132857999999999</v>
      </c>
      <c r="E39" t="s">
        <v>13</v>
      </c>
      <c r="G39" t="s">
        <v>36</v>
      </c>
      <c r="H39" t="s">
        <v>55</v>
      </c>
      <c r="I39" t="s">
        <v>14</v>
      </c>
      <c r="J39">
        <f>1000000*0.12</f>
        <v>120000</v>
      </c>
      <c r="K39" s="2">
        <f>Sheet1!$D$5</f>
        <v>3.81E-3</v>
      </c>
      <c r="L39" s="2">
        <f t="shared" si="52"/>
        <v>457.2</v>
      </c>
      <c r="M39" s="2">
        <f>Sheet1!$D$2</f>
        <v>2.5099999999999996E-3</v>
      </c>
      <c r="N39" s="2">
        <f t="shared" si="53"/>
        <v>301.19999999999993</v>
      </c>
      <c r="O39" s="2">
        <f>Sheet1!$D$3</f>
        <v>1.4399999999999999E-3</v>
      </c>
      <c r="P39" s="2">
        <f t="shared" si="54"/>
        <v>172.79999999999998</v>
      </c>
      <c r="Q39" s="2">
        <f>Sheet1!$D$4</f>
        <v>4.6999999999999999E-4</v>
      </c>
      <c r="R39" s="2">
        <f t="shared" si="55"/>
        <v>56.4</v>
      </c>
    </row>
    <row r="40" spans="1:19" x14ac:dyDescent="0.3">
      <c r="A40" t="s">
        <v>68</v>
      </c>
      <c r="B40" t="s">
        <v>65</v>
      </c>
      <c r="C40">
        <v>24.805135</v>
      </c>
      <c r="D40">
        <v>67.346693999999999</v>
      </c>
      <c r="E40" t="s">
        <v>25</v>
      </c>
      <c r="G40" t="s">
        <v>54</v>
      </c>
      <c r="H40" t="s">
        <v>55</v>
      </c>
      <c r="I40" t="s">
        <v>14</v>
      </c>
      <c r="J40">
        <f>1000000*1.1</f>
        <v>1100000</v>
      </c>
      <c r="K40">
        <f>Sheet1!$D$5</f>
        <v>3.81E-3</v>
      </c>
      <c r="L40">
        <f t="shared" si="52"/>
        <v>4191</v>
      </c>
      <c r="M40">
        <f>Sheet1!$D$2</f>
        <v>2.5099999999999996E-3</v>
      </c>
      <c r="N40">
        <f t="shared" si="53"/>
        <v>2760.9999999999995</v>
      </c>
      <c r="O40">
        <f>Sheet1!$D$3</f>
        <v>1.4399999999999999E-3</v>
      </c>
      <c r="P40">
        <f t="shared" si="54"/>
        <v>1583.9999999999998</v>
      </c>
      <c r="Q40">
        <f>Sheet1!$D$4</f>
        <v>4.6999999999999999E-4</v>
      </c>
      <c r="R40">
        <f t="shared" si="55"/>
        <v>517</v>
      </c>
    </row>
    <row r="41" spans="1:19" x14ac:dyDescent="0.3">
      <c r="A41" t="s">
        <v>70</v>
      </c>
      <c r="B41" t="s">
        <v>77</v>
      </c>
      <c r="C41">
        <v>25.382244</v>
      </c>
      <c r="D41">
        <v>66.676192</v>
      </c>
      <c r="E41" t="s">
        <v>13</v>
      </c>
      <c r="G41" t="s">
        <v>69</v>
      </c>
      <c r="H41" t="s">
        <v>55</v>
      </c>
      <c r="I41" t="s">
        <v>14</v>
      </c>
      <c r="J41">
        <f>1000000*0.2</f>
        <v>200000</v>
      </c>
      <c r="K41">
        <f>Sheet1!$D$5</f>
        <v>3.81E-3</v>
      </c>
      <c r="L41">
        <f t="shared" si="52"/>
        <v>762</v>
      </c>
      <c r="M41">
        <f>Sheet1!$D$2</f>
        <v>2.5099999999999996E-3</v>
      </c>
      <c r="N41">
        <f t="shared" si="53"/>
        <v>501.99999999999994</v>
      </c>
      <c r="O41">
        <f>Sheet1!$D$3</f>
        <v>1.4399999999999999E-3</v>
      </c>
      <c r="P41">
        <f t="shared" si="54"/>
        <v>288</v>
      </c>
      <c r="Q41">
        <f>Sheet1!$D$4</f>
        <v>4.6999999999999999E-4</v>
      </c>
      <c r="R41">
        <f t="shared" si="55"/>
        <v>94</v>
      </c>
    </row>
    <row r="42" spans="1:19" x14ac:dyDescent="0.3">
      <c r="A42" t="s">
        <v>72</v>
      </c>
      <c r="B42" t="s">
        <v>97</v>
      </c>
      <c r="C42">
        <v>24.8971194225714</v>
      </c>
      <c r="D42">
        <v>66.985845464952106</v>
      </c>
      <c r="E42" t="s">
        <v>98</v>
      </c>
      <c r="G42" t="s">
        <v>54</v>
      </c>
      <c r="H42" t="s">
        <v>55</v>
      </c>
      <c r="I42" t="s">
        <v>14</v>
      </c>
      <c r="J42">
        <v>62000</v>
      </c>
      <c r="K42">
        <f>Sheet1!$D$5</f>
        <v>3.81E-3</v>
      </c>
      <c r="L42">
        <f t="shared" ref="L42" si="56">J42*K42</f>
        <v>236.22</v>
      </c>
      <c r="M42">
        <f>Sheet1!$D$2</f>
        <v>2.5099999999999996E-3</v>
      </c>
      <c r="N42">
        <f t="shared" ref="N42" si="57">J42*M42</f>
        <v>155.61999999999998</v>
      </c>
      <c r="O42">
        <f>Sheet1!$D$3</f>
        <v>1.4399999999999999E-3</v>
      </c>
      <c r="P42">
        <f t="shared" ref="P42" si="58">J42*O42</f>
        <v>89.279999999999987</v>
      </c>
      <c r="Q42">
        <f>Sheet1!$D$4</f>
        <v>4.6999999999999999E-4</v>
      </c>
      <c r="R42">
        <f t="shared" ref="R42" si="59">Q42*J42</f>
        <v>29.14</v>
      </c>
      <c r="S42" t="s">
        <v>103</v>
      </c>
    </row>
    <row r="43" spans="1:19" x14ac:dyDescent="0.3">
      <c r="A43" t="s">
        <v>73</v>
      </c>
      <c r="B43" t="s">
        <v>99</v>
      </c>
      <c r="C43">
        <v>24.841853445565501</v>
      </c>
      <c r="D43">
        <v>67.311348441378698</v>
      </c>
      <c r="E43" t="s">
        <v>100</v>
      </c>
      <c r="G43" t="s">
        <v>54</v>
      </c>
      <c r="H43" t="s">
        <v>55</v>
      </c>
      <c r="I43" t="s">
        <v>14</v>
      </c>
      <c r="J43">
        <v>23000</v>
      </c>
      <c r="K43">
        <f>Sheet1!$D$5</f>
        <v>3.81E-3</v>
      </c>
      <c r="L43">
        <f t="shared" ref="L43" si="60">J43*K43</f>
        <v>87.63</v>
      </c>
      <c r="M43">
        <f>Sheet1!$D$2</f>
        <v>2.5099999999999996E-3</v>
      </c>
      <c r="N43">
        <f t="shared" ref="N43" si="61">J43*M43</f>
        <v>57.72999999999999</v>
      </c>
      <c r="O43">
        <f>Sheet1!$D$3</f>
        <v>1.4399999999999999E-3</v>
      </c>
      <c r="P43">
        <f t="shared" ref="P43" si="62">J43*O43</f>
        <v>33.119999999999997</v>
      </c>
      <c r="Q43">
        <f>Sheet1!$D$4</f>
        <v>4.6999999999999999E-4</v>
      </c>
      <c r="R43">
        <f t="shared" ref="R43" si="63">Q43*J43</f>
        <v>10.81</v>
      </c>
      <c r="S43" t="s">
        <v>103</v>
      </c>
    </row>
    <row r="44" spans="1:19" x14ac:dyDescent="0.3">
      <c r="A44" t="s">
        <v>74</v>
      </c>
      <c r="B44" t="s">
        <v>101</v>
      </c>
      <c r="C44">
        <v>31.643426000000002</v>
      </c>
      <c r="D44">
        <v>73.198542000000003</v>
      </c>
      <c r="E44" t="s">
        <v>98</v>
      </c>
      <c r="G44" t="s">
        <v>36</v>
      </c>
      <c r="H44" t="s">
        <v>55</v>
      </c>
      <c r="I44" t="s">
        <v>14</v>
      </c>
      <c r="J44">
        <v>68000</v>
      </c>
      <c r="K44">
        <f>Sheet1!$D$5</f>
        <v>3.81E-3</v>
      </c>
      <c r="L44">
        <f t="shared" ref="L44" si="64">J44*K44</f>
        <v>259.08</v>
      </c>
      <c r="M44">
        <f>Sheet1!$D$2</f>
        <v>2.5099999999999996E-3</v>
      </c>
      <c r="N44">
        <f t="shared" ref="N44" si="65">J44*M44</f>
        <v>170.67999999999998</v>
      </c>
      <c r="O44">
        <f>Sheet1!$D$3</f>
        <v>1.4399999999999999E-3</v>
      </c>
      <c r="P44">
        <f t="shared" ref="P44" si="66">J44*O44</f>
        <v>97.919999999999987</v>
      </c>
      <c r="Q44">
        <f>Sheet1!$D$4</f>
        <v>4.6999999999999999E-4</v>
      </c>
      <c r="R44">
        <f t="shared" ref="R44" si="67">Q44*J44</f>
        <v>31.959999999999997</v>
      </c>
      <c r="S44" t="s">
        <v>103</v>
      </c>
    </row>
    <row r="45" spans="1:19" x14ac:dyDescent="0.3">
      <c r="A45" t="s">
        <v>76</v>
      </c>
      <c r="B45" t="s">
        <v>102</v>
      </c>
      <c r="C45">
        <v>31.6525454972357</v>
      </c>
      <c r="D45">
        <v>74.180447984225907</v>
      </c>
      <c r="E45" t="s">
        <v>98</v>
      </c>
      <c r="G45" t="s">
        <v>36</v>
      </c>
      <c r="H45" t="s">
        <v>55</v>
      </c>
      <c r="I45" t="s">
        <v>14</v>
      </c>
      <c r="J45">
        <v>99000</v>
      </c>
      <c r="K45">
        <f>Sheet1!$D$5</f>
        <v>3.81E-3</v>
      </c>
      <c r="L45">
        <f t="shared" ref="L45" si="68">J45*K45</f>
        <v>377.19</v>
      </c>
      <c r="M45">
        <f>Sheet1!$D$2</f>
        <v>2.5099999999999996E-3</v>
      </c>
      <c r="N45">
        <f t="shared" ref="N45" si="69">J45*M45</f>
        <v>248.48999999999995</v>
      </c>
      <c r="O45">
        <f>Sheet1!$D$3</f>
        <v>1.4399999999999999E-3</v>
      </c>
      <c r="P45">
        <f t="shared" ref="P45" si="70">J45*O45</f>
        <v>142.55999999999997</v>
      </c>
      <c r="Q45">
        <f>Sheet1!$D$4</f>
        <v>4.6999999999999999E-4</v>
      </c>
      <c r="R45">
        <f t="shared" ref="R45" si="71">Q45*J45</f>
        <v>46.53</v>
      </c>
      <c r="S45" t="s">
        <v>103</v>
      </c>
    </row>
    <row r="46" spans="1:19" x14ac:dyDescent="0.3">
      <c r="A46" t="s">
        <v>139</v>
      </c>
      <c r="B46" t="s">
        <v>140</v>
      </c>
      <c r="C46">
        <v>34.124212999999997</v>
      </c>
      <c r="D46">
        <v>72.019181000000003</v>
      </c>
      <c r="G46" t="s">
        <v>141</v>
      </c>
      <c r="H46" t="s">
        <v>55</v>
      </c>
      <c r="I46" t="s">
        <v>14</v>
      </c>
      <c r="K46">
        <f>Sheet1!$D$5</f>
        <v>3.81E-3</v>
      </c>
      <c r="L46">
        <f t="shared" ref="L46" si="72">J46*K46</f>
        <v>0</v>
      </c>
      <c r="M46">
        <f>Sheet1!$D$2</f>
        <v>2.5099999999999996E-3</v>
      </c>
      <c r="N46">
        <f t="shared" ref="N46" si="73">J46*M46</f>
        <v>0</v>
      </c>
      <c r="O46">
        <f>Sheet1!$D$3</f>
        <v>1.4399999999999999E-3</v>
      </c>
      <c r="P46">
        <f t="shared" ref="P46" si="74">J46*O46</f>
        <v>0</v>
      </c>
      <c r="Q46">
        <f>Sheet1!$D$4</f>
        <v>4.6999999999999999E-4</v>
      </c>
      <c r="R46">
        <f t="shared" ref="R46" si="75">Q46*J46</f>
        <v>0</v>
      </c>
      <c r="S46" t="s">
        <v>142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A685-3A73-4E70-B01A-48ABC95BC187}">
  <dimension ref="A1:E10"/>
  <sheetViews>
    <sheetView workbookViewId="0">
      <selection activeCell="D5" sqref="D5"/>
    </sheetView>
  </sheetViews>
  <sheetFormatPr defaultRowHeight="14.4" x14ac:dyDescent="0.3"/>
  <cols>
    <col min="4" max="4" width="47.21875" bestFit="1" customWidth="1"/>
  </cols>
  <sheetData>
    <row r="1" spans="1:5" x14ac:dyDescent="0.3">
      <c r="A1" s="1" t="s">
        <v>78</v>
      </c>
      <c r="B1" s="1" t="s">
        <v>79</v>
      </c>
      <c r="C1" s="1" t="s">
        <v>80</v>
      </c>
      <c r="D1" s="1" t="s">
        <v>81</v>
      </c>
      <c r="E1" s="2" t="s">
        <v>82</v>
      </c>
    </row>
    <row r="2" spans="1:5" x14ac:dyDescent="0.3">
      <c r="A2" s="1" t="s">
        <v>83</v>
      </c>
      <c r="B2" s="1">
        <v>2.5099999999999998</v>
      </c>
      <c r="C2" s="1" t="s">
        <v>84</v>
      </c>
      <c r="D2" s="1">
        <f>B2/1000</f>
        <v>2.5099999999999996E-3</v>
      </c>
      <c r="E2" s="2"/>
    </row>
    <row r="3" spans="1:5" x14ac:dyDescent="0.3">
      <c r="A3" s="1" t="s">
        <v>85</v>
      </c>
      <c r="B3" s="1">
        <v>1.44</v>
      </c>
      <c r="C3" s="1" t="s">
        <v>84</v>
      </c>
      <c r="D3" s="1">
        <f t="shared" ref="D3:D5" si="0">B3/1000</f>
        <v>1.4399999999999999E-3</v>
      </c>
      <c r="E3" s="2"/>
    </row>
    <row r="4" spans="1:5" x14ac:dyDescent="0.3">
      <c r="A4" s="1" t="s">
        <v>86</v>
      </c>
      <c r="B4" s="1">
        <v>0.47</v>
      </c>
      <c r="C4" s="1" t="s">
        <v>84</v>
      </c>
      <c r="D4" s="1">
        <f t="shared" si="0"/>
        <v>4.6999999999999999E-4</v>
      </c>
      <c r="E4" s="2"/>
    </row>
    <row r="5" spans="1:5" x14ac:dyDescent="0.3">
      <c r="A5" s="1" t="s">
        <v>87</v>
      </c>
      <c r="B5" s="1">
        <v>3.81</v>
      </c>
      <c r="C5" s="1" t="s">
        <v>84</v>
      </c>
      <c r="D5" s="1">
        <f t="shared" si="0"/>
        <v>3.81E-3</v>
      </c>
      <c r="E5" s="2" t="s">
        <v>88</v>
      </c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 t="s">
        <v>89</v>
      </c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ht="409.6" x14ac:dyDescent="0.3">
      <c r="A10" s="3" t="s">
        <v>90</v>
      </c>
      <c r="B10" s="4" t="s">
        <v>91</v>
      </c>
      <c r="C10" s="2"/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steel_plants_main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Khizer Zakir</cp:lastModifiedBy>
  <dcterms:created xsi:type="dcterms:W3CDTF">2025-11-10T12:32:19Z</dcterms:created>
  <dcterms:modified xsi:type="dcterms:W3CDTF">2025-11-30T12:28:55Z</dcterms:modified>
</cp:coreProperties>
</file>