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Steel\"/>
    </mc:Choice>
  </mc:AlternateContent>
  <xr:revisionPtr revIDLastSave="0" documentId="13_ncr:1_{10E5A641-4625-4D1B-B70D-02625CD70F86}" xr6:coauthVersionLast="47" xr6:coauthVersionMax="47" xr10:uidLastSave="{00000000-0000-0000-0000-000000000000}"/>
  <bookViews>
    <workbookView xWindow="-108" yWindow="-108" windowWidth="23256" windowHeight="12456" xr2:uid="{DDB24A7A-4012-4475-B5DF-F169382237C6}"/>
  </bookViews>
  <sheets>
    <sheet name="steel_plants_ma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" i="1" l="1"/>
  <c r="J158" i="1"/>
  <c r="J157" i="1"/>
  <c r="J156" i="1"/>
  <c r="J154" i="1"/>
  <c r="J153" i="1"/>
  <c r="J152" i="1"/>
  <c r="J151" i="1"/>
  <c r="J150" i="1"/>
  <c r="J149" i="1"/>
  <c r="J148" i="1"/>
  <c r="J147" i="1"/>
  <c r="J145" i="1"/>
  <c r="J144" i="1"/>
  <c r="J143" i="1"/>
  <c r="L143" i="1" s="1"/>
  <c r="J142" i="1"/>
  <c r="J86" i="1"/>
  <c r="J78" i="1"/>
  <c r="J71" i="1"/>
  <c r="J70" i="1"/>
  <c r="J58" i="1"/>
  <c r="R29" i="1"/>
  <c r="R61" i="1"/>
  <c r="R151" i="1"/>
  <c r="R154" i="1"/>
  <c r="Q25" i="1"/>
  <c r="R25" i="1" s="1"/>
  <c r="Q26" i="1"/>
  <c r="R26" i="1" s="1"/>
  <c r="Q27" i="1"/>
  <c r="R27" i="1" s="1"/>
  <c r="Q28" i="1"/>
  <c r="R28" i="1" s="1"/>
  <c r="Q29" i="1"/>
  <c r="Q38" i="1"/>
  <c r="R38" i="1" s="1"/>
  <c r="Q39" i="1"/>
  <c r="R39" i="1" s="1"/>
  <c r="Q40" i="1"/>
  <c r="R40" i="1" s="1"/>
  <c r="Q57" i="1"/>
  <c r="R57" i="1" s="1"/>
  <c r="Q58" i="1"/>
  <c r="R58" i="1" s="1"/>
  <c r="Q59" i="1"/>
  <c r="R59" i="1" s="1"/>
  <c r="Q60" i="1"/>
  <c r="R60" i="1" s="1"/>
  <c r="Q61" i="1"/>
  <c r="Q70" i="1"/>
  <c r="R70" i="1" s="1"/>
  <c r="Q71" i="1"/>
  <c r="R71" i="1" s="1"/>
  <c r="Q72" i="1"/>
  <c r="R72" i="1" s="1"/>
  <c r="Q89" i="1"/>
  <c r="R89" i="1" s="1"/>
  <c r="Q90" i="1"/>
  <c r="R90" i="1" s="1"/>
  <c r="Q91" i="1"/>
  <c r="R91" i="1" s="1"/>
  <c r="Q92" i="1"/>
  <c r="R92" i="1" s="1"/>
  <c r="Q93" i="1"/>
  <c r="R93" i="1" s="1"/>
  <c r="Q102" i="1"/>
  <c r="R102" i="1" s="1"/>
  <c r="Q103" i="1"/>
  <c r="R103" i="1" s="1"/>
  <c r="Q104" i="1"/>
  <c r="R104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33" i="1"/>
  <c r="R133" i="1" s="1"/>
  <c r="Q134" i="1"/>
  <c r="R134" i="1" s="1"/>
  <c r="Q151" i="1"/>
  <c r="Q152" i="1"/>
  <c r="Q153" i="1"/>
  <c r="Q154" i="1"/>
  <c r="Q155" i="1"/>
  <c r="R155" i="1" s="1"/>
  <c r="Q156" i="1"/>
  <c r="R156" i="1" s="1"/>
  <c r="Q157" i="1"/>
  <c r="R157" i="1" s="1"/>
  <c r="Q9" i="1"/>
  <c r="R9" i="1" s="1"/>
  <c r="P3" i="1"/>
  <c r="P33" i="1"/>
  <c r="P51" i="1"/>
  <c r="P52" i="1"/>
  <c r="P82" i="1"/>
  <c r="P83" i="1"/>
  <c r="P84" i="1"/>
  <c r="P114" i="1"/>
  <c r="P115" i="1"/>
  <c r="P116" i="1"/>
  <c r="P147" i="1"/>
  <c r="P148" i="1"/>
  <c r="O3" i="1"/>
  <c r="O4" i="1"/>
  <c r="P4" i="1" s="1"/>
  <c r="O12" i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O34" i="1"/>
  <c r="P34" i="1" s="1"/>
  <c r="O35" i="1"/>
  <c r="P35" i="1" s="1"/>
  <c r="O36" i="1"/>
  <c r="P36" i="1" s="1"/>
  <c r="O44" i="1"/>
  <c r="O45" i="1"/>
  <c r="P45" i="1" s="1"/>
  <c r="O46" i="1"/>
  <c r="P46" i="1" s="1"/>
  <c r="O47" i="1"/>
  <c r="P47" i="1" s="1"/>
  <c r="O48" i="1"/>
  <c r="P48" i="1" s="1"/>
  <c r="O49" i="1"/>
  <c r="O50" i="1"/>
  <c r="P50" i="1" s="1"/>
  <c r="O51" i="1"/>
  <c r="O52" i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76" i="1"/>
  <c r="P76" i="1" s="1"/>
  <c r="O77" i="1"/>
  <c r="P77" i="1" s="1"/>
  <c r="O78" i="1"/>
  <c r="O79" i="1"/>
  <c r="P79" i="1" s="1"/>
  <c r="O80" i="1"/>
  <c r="P80" i="1" s="1"/>
  <c r="O81" i="1"/>
  <c r="P81" i="1" s="1"/>
  <c r="O82" i="1"/>
  <c r="O83" i="1"/>
  <c r="O84" i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O115" i="1"/>
  <c r="O116" i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40" i="1"/>
  <c r="P140" i="1" s="1"/>
  <c r="O141" i="1"/>
  <c r="P141" i="1" s="1"/>
  <c r="O142" i="1"/>
  <c r="O143" i="1"/>
  <c r="O144" i="1"/>
  <c r="O145" i="1"/>
  <c r="O146" i="1"/>
  <c r="P146" i="1" s="1"/>
  <c r="O147" i="1"/>
  <c r="O148" i="1"/>
  <c r="O156" i="1"/>
  <c r="P156" i="1" s="1"/>
  <c r="O157" i="1"/>
  <c r="O158" i="1"/>
  <c r="P158" i="1" s="1"/>
  <c r="O159" i="1"/>
  <c r="P159" i="1" s="1"/>
  <c r="O2" i="1"/>
  <c r="N6" i="1"/>
  <c r="N30" i="1"/>
  <c r="N62" i="1"/>
  <c r="N87" i="1"/>
  <c r="N118" i="1"/>
  <c r="N119" i="1"/>
  <c r="N150" i="1"/>
  <c r="N151" i="1"/>
  <c r="N152" i="1"/>
  <c r="N153" i="1"/>
  <c r="M6" i="1"/>
  <c r="M7" i="1"/>
  <c r="N7" i="1" s="1"/>
  <c r="M8" i="1"/>
  <c r="N8" i="1" s="1"/>
  <c r="M9" i="1"/>
  <c r="N9" i="1" s="1"/>
  <c r="M10" i="1"/>
  <c r="N10" i="1" s="1"/>
  <c r="M11" i="1"/>
  <c r="N11" i="1" s="1"/>
  <c r="M12" i="1"/>
  <c r="M13" i="1"/>
  <c r="N13" i="1" s="1"/>
  <c r="M14" i="1"/>
  <c r="N14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M38" i="1"/>
  <c r="N38" i="1" s="1"/>
  <c r="M39" i="1"/>
  <c r="M40" i="1"/>
  <c r="M41" i="1"/>
  <c r="N41" i="1" s="1"/>
  <c r="M42" i="1"/>
  <c r="N42" i="1" s="1"/>
  <c r="M43" i="1"/>
  <c r="N43" i="1" s="1"/>
  <c r="M44" i="1"/>
  <c r="M45" i="1"/>
  <c r="N45" i="1" s="1"/>
  <c r="M46" i="1"/>
  <c r="N46" i="1" s="1"/>
  <c r="M54" i="1"/>
  <c r="N54" i="1" s="1"/>
  <c r="M55" i="1"/>
  <c r="N55" i="1" s="1"/>
  <c r="M56" i="1"/>
  <c r="N56" i="1" s="1"/>
  <c r="M57" i="1"/>
  <c r="M58" i="1"/>
  <c r="N58" i="1" s="1"/>
  <c r="M59" i="1"/>
  <c r="N59" i="1" s="1"/>
  <c r="M60" i="1"/>
  <c r="N60" i="1" s="1"/>
  <c r="M61" i="1"/>
  <c r="N61" i="1" s="1"/>
  <c r="M62" i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M86" i="1"/>
  <c r="N86" i="1" s="1"/>
  <c r="M87" i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8" i="1"/>
  <c r="M119" i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M150" i="1"/>
  <c r="M151" i="1"/>
  <c r="M152" i="1"/>
  <c r="M153" i="1"/>
  <c r="M154" i="1"/>
  <c r="N154" i="1" s="1"/>
  <c r="M155" i="1"/>
  <c r="N155" i="1" s="1"/>
  <c r="M156" i="1"/>
  <c r="N156" i="1" s="1"/>
  <c r="M157" i="1"/>
  <c r="N157" i="1" s="1"/>
  <c r="M158" i="1"/>
  <c r="N158" i="1" s="1"/>
  <c r="L10" i="1"/>
  <c r="L11" i="1"/>
  <c r="L27" i="1"/>
  <c r="L28" i="1"/>
  <c r="L29" i="1"/>
  <c r="L30" i="1"/>
  <c r="L31" i="1"/>
  <c r="L32" i="1"/>
  <c r="L58" i="1"/>
  <c r="L59" i="1"/>
  <c r="L60" i="1"/>
  <c r="L61" i="1"/>
  <c r="L62" i="1"/>
  <c r="L63" i="1"/>
  <c r="L64" i="1"/>
  <c r="K10" i="1"/>
  <c r="K11" i="1"/>
  <c r="K12" i="1"/>
  <c r="K27" i="1"/>
  <c r="K28" i="1"/>
  <c r="K29" i="1"/>
  <c r="K30" i="1"/>
  <c r="K31" i="1"/>
  <c r="K32" i="1"/>
  <c r="K33" i="1"/>
  <c r="L33" i="1" s="1"/>
  <c r="K34" i="1"/>
  <c r="L34" i="1" s="1"/>
  <c r="K42" i="1"/>
  <c r="L42" i="1" s="1"/>
  <c r="K50" i="1"/>
  <c r="K58" i="1"/>
  <c r="K59" i="1"/>
  <c r="K60" i="1"/>
  <c r="K61" i="1"/>
  <c r="K62" i="1"/>
  <c r="K63" i="1"/>
  <c r="K64" i="1"/>
  <c r="K65" i="1"/>
  <c r="L65" i="1" s="1"/>
  <c r="K80" i="1"/>
  <c r="L80" i="1" s="1"/>
  <c r="K81" i="1"/>
  <c r="L81" i="1" s="1"/>
  <c r="K82" i="1"/>
  <c r="L82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110" i="1"/>
  <c r="L110" i="1" s="1"/>
  <c r="K111" i="1"/>
  <c r="L111" i="1" s="1"/>
  <c r="K112" i="1"/>
  <c r="L112" i="1" s="1"/>
  <c r="K113" i="1"/>
  <c r="L113" i="1" s="1"/>
  <c r="K114" i="1"/>
  <c r="L114" i="1" s="1"/>
  <c r="K122" i="1"/>
  <c r="L122" i="1" s="1"/>
  <c r="K123" i="1"/>
  <c r="L123" i="1" s="1"/>
  <c r="K124" i="1"/>
  <c r="L124" i="1" s="1"/>
  <c r="K125" i="1"/>
  <c r="L125" i="1" s="1"/>
  <c r="K140" i="1"/>
  <c r="L140" i="1" s="1"/>
  <c r="K141" i="1"/>
  <c r="L141" i="1" s="1"/>
  <c r="K142" i="1"/>
  <c r="K143" i="1"/>
  <c r="K144" i="1"/>
  <c r="K145" i="1"/>
  <c r="K146" i="1"/>
  <c r="L146" i="1" s="1"/>
  <c r="K154" i="1"/>
  <c r="L154" i="1" s="1"/>
  <c r="K155" i="1"/>
  <c r="L155" i="1" s="1"/>
  <c r="J57" i="1"/>
  <c r="J53" i="1"/>
  <c r="J50" i="1"/>
  <c r="L50" i="1" s="1"/>
  <c r="J49" i="1"/>
  <c r="J44" i="1"/>
  <c r="J40" i="1"/>
  <c r="N40" i="1" s="1"/>
  <c r="J39" i="1"/>
  <c r="J12" i="1"/>
  <c r="P2" i="1"/>
  <c r="D5" i="2"/>
  <c r="K14" i="1" s="1"/>
  <c r="L14" i="1" s="1"/>
  <c r="D4" i="2"/>
  <c r="Q11" i="1" s="1"/>
  <c r="R11" i="1" s="1"/>
  <c r="D3" i="2"/>
  <c r="O5" i="1" s="1"/>
  <c r="P5" i="1" s="1"/>
  <c r="D2" i="2"/>
  <c r="M15" i="1" s="1"/>
  <c r="N15" i="1" s="1"/>
  <c r="P12" i="1" l="1"/>
  <c r="N12" i="1"/>
  <c r="N39" i="1"/>
  <c r="P44" i="1"/>
  <c r="N44" i="1"/>
  <c r="Q56" i="1"/>
  <c r="R56" i="1" s="1"/>
  <c r="K79" i="1"/>
  <c r="L79" i="1" s="1"/>
  <c r="P39" i="1"/>
  <c r="Q141" i="1"/>
  <c r="R141" i="1" s="1"/>
  <c r="Q118" i="1"/>
  <c r="R118" i="1" s="1"/>
  <c r="Q87" i="1"/>
  <c r="R87" i="1" s="1"/>
  <c r="Q55" i="1"/>
  <c r="R55" i="1" s="1"/>
  <c r="Q23" i="1"/>
  <c r="R23" i="1" s="1"/>
  <c r="L49" i="1"/>
  <c r="Q119" i="1"/>
  <c r="R119" i="1" s="1"/>
  <c r="K4" i="1"/>
  <c r="L4" i="1" s="1"/>
  <c r="K138" i="1"/>
  <c r="L138" i="1" s="1"/>
  <c r="K108" i="1"/>
  <c r="L108" i="1" s="1"/>
  <c r="K78" i="1"/>
  <c r="L78" i="1" s="1"/>
  <c r="K48" i="1"/>
  <c r="L48" i="1" s="1"/>
  <c r="K18" i="1"/>
  <c r="L18" i="1" s="1"/>
  <c r="Q140" i="1"/>
  <c r="R140" i="1" s="1"/>
  <c r="Q117" i="1"/>
  <c r="R117" i="1" s="1"/>
  <c r="Q86" i="1"/>
  <c r="R86" i="1" s="1"/>
  <c r="Q54" i="1"/>
  <c r="R54" i="1" s="1"/>
  <c r="Q22" i="1"/>
  <c r="R22" i="1" s="1"/>
  <c r="P142" i="1"/>
  <c r="N142" i="1"/>
  <c r="R144" i="1"/>
  <c r="P49" i="1"/>
  <c r="Q150" i="1"/>
  <c r="K109" i="1"/>
  <c r="L109" i="1" s="1"/>
  <c r="K3" i="1"/>
  <c r="L3" i="1" s="1"/>
  <c r="K130" i="1"/>
  <c r="L130" i="1" s="1"/>
  <c r="K107" i="1"/>
  <c r="L107" i="1" s="1"/>
  <c r="K77" i="1"/>
  <c r="L77" i="1" s="1"/>
  <c r="K47" i="1"/>
  <c r="L47" i="1" s="1"/>
  <c r="K17" i="1"/>
  <c r="L17" i="1" s="1"/>
  <c r="Q139" i="1"/>
  <c r="R139" i="1" s="1"/>
  <c r="Q109" i="1"/>
  <c r="R109" i="1" s="1"/>
  <c r="Q77" i="1"/>
  <c r="R77" i="1" s="1"/>
  <c r="Q45" i="1"/>
  <c r="R45" i="1" s="1"/>
  <c r="Q13" i="1"/>
  <c r="R13" i="1" s="1"/>
  <c r="N145" i="1"/>
  <c r="P145" i="1"/>
  <c r="L142" i="1"/>
  <c r="Q24" i="1"/>
  <c r="R24" i="1" s="1"/>
  <c r="K5" i="1"/>
  <c r="L5" i="1" s="1"/>
  <c r="K26" i="1"/>
  <c r="L26" i="1" s="1"/>
  <c r="K159" i="1"/>
  <c r="L159" i="1" s="1"/>
  <c r="K129" i="1"/>
  <c r="L129" i="1" s="1"/>
  <c r="K106" i="1"/>
  <c r="L106" i="1" s="1"/>
  <c r="K76" i="1"/>
  <c r="L76" i="1" s="1"/>
  <c r="K46" i="1"/>
  <c r="L46" i="1" s="1"/>
  <c r="K16" i="1"/>
  <c r="L16" i="1" s="1"/>
  <c r="Q138" i="1"/>
  <c r="R138" i="1" s="1"/>
  <c r="Q108" i="1"/>
  <c r="R108" i="1" s="1"/>
  <c r="Q76" i="1"/>
  <c r="R76" i="1" s="1"/>
  <c r="Q44" i="1"/>
  <c r="R44" i="1" s="1"/>
  <c r="Q12" i="1"/>
  <c r="R12" i="1" s="1"/>
  <c r="P143" i="1"/>
  <c r="Q88" i="1"/>
  <c r="R88" i="1" s="1"/>
  <c r="K139" i="1"/>
  <c r="L139" i="1" s="1"/>
  <c r="K49" i="1"/>
  <c r="K158" i="1"/>
  <c r="L158" i="1" s="1"/>
  <c r="K128" i="1"/>
  <c r="L128" i="1" s="1"/>
  <c r="K98" i="1"/>
  <c r="L98" i="1" s="1"/>
  <c r="K75" i="1"/>
  <c r="L75" i="1" s="1"/>
  <c r="K45" i="1"/>
  <c r="L45" i="1" s="1"/>
  <c r="K15" i="1"/>
  <c r="L15" i="1" s="1"/>
  <c r="Q137" i="1"/>
  <c r="R137" i="1" s="1"/>
  <c r="Q107" i="1"/>
  <c r="R107" i="1" s="1"/>
  <c r="Q75" i="1"/>
  <c r="R75" i="1" s="1"/>
  <c r="Q43" i="1"/>
  <c r="R43" i="1" s="1"/>
  <c r="L145" i="1"/>
  <c r="L148" i="1"/>
  <c r="Q14" i="1"/>
  <c r="R14" i="1" s="1"/>
  <c r="Q30" i="1"/>
  <c r="R30" i="1" s="1"/>
  <c r="Q46" i="1"/>
  <c r="R46" i="1" s="1"/>
  <c r="Q62" i="1"/>
  <c r="R62" i="1" s="1"/>
  <c r="Q78" i="1"/>
  <c r="Q94" i="1"/>
  <c r="R94" i="1" s="1"/>
  <c r="Q110" i="1"/>
  <c r="R110" i="1" s="1"/>
  <c r="Q126" i="1"/>
  <c r="R126" i="1" s="1"/>
  <c r="Q142" i="1"/>
  <c r="R142" i="1" s="1"/>
  <c r="Q158" i="1"/>
  <c r="R158" i="1" s="1"/>
  <c r="Q85" i="1"/>
  <c r="R85" i="1" s="1"/>
  <c r="Q8" i="1"/>
  <c r="R8" i="1" s="1"/>
  <c r="Q15" i="1"/>
  <c r="R15" i="1" s="1"/>
  <c r="Q31" i="1"/>
  <c r="R31" i="1" s="1"/>
  <c r="Q47" i="1"/>
  <c r="R47" i="1" s="1"/>
  <c r="Q63" i="1"/>
  <c r="R63" i="1" s="1"/>
  <c r="Q79" i="1"/>
  <c r="R79" i="1" s="1"/>
  <c r="Q95" i="1"/>
  <c r="R95" i="1" s="1"/>
  <c r="Q111" i="1"/>
  <c r="R111" i="1" s="1"/>
  <c r="Q127" i="1"/>
  <c r="R127" i="1" s="1"/>
  <c r="Q143" i="1"/>
  <c r="R143" i="1" s="1"/>
  <c r="Q159" i="1"/>
  <c r="R159" i="1" s="1"/>
  <c r="Q16" i="1"/>
  <c r="R16" i="1" s="1"/>
  <c r="Q32" i="1"/>
  <c r="R32" i="1" s="1"/>
  <c r="Q48" i="1"/>
  <c r="R48" i="1" s="1"/>
  <c r="Q64" i="1"/>
  <c r="R64" i="1" s="1"/>
  <c r="Q80" i="1"/>
  <c r="R80" i="1" s="1"/>
  <c r="Q96" i="1"/>
  <c r="R96" i="1" s="1"/>
  <c r="Q112" i="1"/>
  <c r="R112" i="1" s="1"/>
  <c r="Q128" i="1"/>
  <c r="R128" i="1" s="1"/>
  <c r="Q144" i="1"/>
  <c r="Q3" i="1"/>
  <c r="R3" i="1" s="1"/>
  <c r="Q101" i="1"/>
  <c r="R101" i="1" s="1"/>
  <c r="Q17" i="1"/>
  <c r="R17" i="1" s="1"/>
  <c r="Q33" i="1"/>
  <c r="R33" i="1" s="1"/>
  <c r="Q49" i="1"/>
  <c r="R49" i="1" s="1"/>
  <c r="Q65" i="1"/>
  <c r="R65" i="1" s="1"/>
  <c r="Q81" i="1"/>
  <c r="R81" i="1" s="1"/>
  <c r="Q97" i="1"/>
  <c r="R97" i="1" s="1"/>
  <c r="Q113" i="1"/>
  <c r="R113" i="1" s="1"/>
  <c r="Q129" i="1"/>
  <c r="R129" i="1" s="1"/>
  <c r="Q145" i="1"/>
  <c r="R145" i="1" s="1"/>
  <c r="Q4" i="1"/>
  <c r="R4" i="1" s="1"/>
  <c r="Q21" i="1"/>
  <c r="R21" i="1" s="1"/>
  <c r="Q18" i="1"/>
  <c r="R18" i="1" s="1"/>
  <c r="Q34" i="1"/>
  <c r="R34" i="1" s="1"/>
  <c r="Q50" i="1"/>
  <c r="R50" i="1" s="1"/>
  <c r="Q66" i="1"/>
  <c r="R66" i="1" s="1"/>
  <c r="Q82" i="1"/>
  <c r="R82" i="1" s="1"/>
  <c r="Q98" i="1"/>
  <c r="R98" i="1" s="1"/>
  <c r="Q114" i="1"/>
  <c r="R114" i="1" s="1"/>
  <c r="Q130" i="1"/>
  <c r="R130" i="1" s="1"/>
  <c r="Q146" i="1"/>
  <c r="R146" i="1" s="1"/>
  <c r="Q5" i="1"/>
  <c r="R5" i="1" s="1"/>
  <c r="Q69" i="1"/>
  <c r="R69" i="1" s="1"/>
  <c r="Q149" i="1"/>
  <c r="R149" i="1" s="1"/>
  <c r="Q19" i="1"/>
  <c r="R19" i="1" s="1"/>
  <c r="Q35" i="1"/>
  <c r="R35" i="1" s="1"/>
  <c r="Q51" i="1"/>
  <c r="R51" i="1" s="1"/>
  <c r="Q67" i="1"/>
  <c r="R67" i="1" s="1"/>
  <c r="Q83" i="1"/>
  <c r="R83" i="1" s="1"/>
  <c r="Q99" i="1"/>
  <c r="R99" i="1" s="1"/>
  <c r="Q115" i="1"/>
  <c r="R115" i="1" s="1"/>
  <c r="Q131" i="1"/>
  <c r="R131" i="1" s="1"/>
  <c r="Q147" i="1"/>
  <c r="R147" i="1" s="1"/>
  <c r="Q6" i="1"/>
  <c r="R6" i="1" s="1"/>
  <c r="Q53" i="1"/>
  <c r="R53" i="1" s="1"/>
  <c r="Q20" i="1"/>
  <c r="R20" i="1" s="1"/>
  <c r="Q36" i="1"/>
  <c r="R36" i="1" s="1"/>
  <c r="Q52" i="1"/>
  <c r="R52" i="1" s="1"/>
  <c r="Q68" i="1"/>
  <c r="R68" i="1" s="1"/>
  <c r="Q84" i="1"/>
  <c r="R84" i="1" s="1"/>
  <c r="Q100" i="1"/>
  <c r="R100" i="1" s="1"/>
  <c r="Q116" i="1"/>
  <c r="R116" i="1" s="1"/>
  <c r="Q132" i="1"/>
  <c r="R132" i="1" s="1"/>
  <c r="Q148" i="1"/>
  <c r="R148" i="1" s="1"/>
  <c r="Q7" i="1"/>
  <c r="R7" i="1" s="1"/>
  <c r="Q37" i="1"/>
  <c r="R37" i="1" s="1"/>
  <c r="K157" i="1"/>
  <c r="K127" i="1"/>
  <c r="L127" i="1" s="1"/>
  <c r="K97" i="1"/>
  <c r="L97" i="1" s="1"/>
  <c r="K74" i="1"/>
  <c r="L74" i="1" s="1"/>
  <c r="K44" i="1"/>
  <c r="L44" i="1" s="1"/>
  <c r="Q136" i="1"/>
  <c r="R136" i="1" s="1"/>
  <c r="Q106" i="1"/>
  <c r="R106" i="1" s="1"/>
  <c r="Q74" i="1"/>
  <c r="R74" i="1" s="1"/>
  <c r="Q42" i="1"/>
  <c r="R42" i="1" s="1"/>
  <c r="Q10" i="1"/>
  <c r="R10" i="1" s="1"/>
  <c r="K19" i="1"/>
  <c r="L19" i="1" s="1"/>
  <c r="K35" i="1"/>
  <c r="L35" i="1" s="1"/>
  <c r="K51" i="1"/>
  <c r="L51" i="1" s="1"/>
  <c r="K67" i="1"/>
  <c r="L67" i="1" s="1"/>
  <c r="K83" i="1"/>
  <c r="L83" i="1" s="1"/>
  <c r="K99" i="1"/>
  <c r="L99" i="1" s="1"/>
  <c r="K115" i="1"/>
  <c r="L115" i="1" s="1"/>
  <c r="K131" i="1"/>
  <c r="L131" i="1" s="1"/>
  <c r="K147" i="1"/>
  <c r="L147" i="1" s="1"/>
  <c r="K6" i="1"/>
  <c r="L6" i="1" s="1"/>
  <c r="K41" i="1"/>
  <c r="L41" i="1" s="1"/>
  <c r="K20" i="1"/>
  <c r="L20" i="1" s="1"/>
  <c r="K36" i="1"/>
  <c r="L36" i="1" s="1"/>
  <c r="K52" i="1"/>
  <c r="L52" i="1" s="1"/>
  <c r="K68" i="1"/>
  <c r="L68" i="1" s="1"/>
  <c r="K84" i="1"/>
  <c r="L84" i="1" s="1"/>
  <c r="K100" i="1"/>
  <c r="L100" i="1" s="1"/>
  <c r="K116" i="1"/>
  <c r="L116" i="1" s="1"/>
  <c r="K132" i="1"/>
  <c r="L132" i="1" s="1"/>
  <c r="K148" i="1"/>
  <c r="K7" i="1"/>
  <c r="L7" i="1" s="1"/>
  <c r="K21" i="1"/>
  <c r="L21" i="1" s="1"/>
  <c r="K37" i="1"/>
  <c r="L37" i="1" s="1"/>
  <c r="K53" i="1"/>
  <c r="L53" i="1" s="1"/>
  <c r="K69" i="1"/>
  <c r="L69" i="1" s="1"/>
  <c r="K85" i="1"/>
  <c r="L85" i="1" s="1"/>
  <c r="K101" i="1"/>
  <c r="L101" i="1" s="1"/>
  <c r="K117" i="1"/>
  <c r="L117" i="1" s="1"/>
  <c r="K133" i="1"/>
  <c r="L133" i="1" s="1"/>
  <c r="K149" i="1"/>
  <c r="L149" i="1" s="1"/>
  <c r="K8" i="1"/>
  <c r="L8" i="1" s="1"/>
  <c r="K153" i="1"/>
  <c r="L153" i="1" s="1"/>
  <c r="K22" i="1"/>
  <c r="L22" i="1" s="1"/>
  <c r="K38" i="1"/>
  <c r="L38" i="1" s="1"/>
  <c r="K54" i="1"/>
  <c r="L54" i="1" s="1"/>
  <c r="K70" i="1"/>
  <c r="K86" i="1"/>
  <c r="L86" i="1" s="1"/>
  <c r="K102" i="1"/>
  <c r="L102" i="1" s="1"/>
  <c r="K118" i="1"/>
  <c r="L118" i="1" s="1"/>
  <c r="K134" i="1"/>
  <c r="L134" i="1" s="1"/>
  <c r="K150" i="1"/>
  <c r="L150" i="1" s="1"/>
  <c r="K9" i="1"/>
  <c r="L9" i="1" s="1"/>
  <c r="K136" i="1"/>
  <c r="L136" i="1" s="1"/>
  <c r="K152" i="1"/>
  <c r="L152" i="1" s="1"/>
  <c r="K23" i="1"/>
  <c r="L23" i="1" s="1"/>
  <c r="K39" i="1"/>
  <c r="L39" i="1" s="1"/>
  <c r="K55" i="1"/>
  <c r="L55" i="1" s="1"/>
  <c r="K71" i="1"/>
  <c r="K87" i="1"/>
  <c r="L87" i="1" s="1"/>
  <c r="K103" i="1"/>
  <c r="L103" i="1" s="1"/>
  <c r="K119" i="1"/>
  <c r="L119" i="1" s="1"/>
  <c r="K135" i="1"/>
  <c r="L135" i="1" s="1"/>
  <c r="K151" i="1"/>
  <c r="K2" i="1"/>
  <c r="L2" i="1" s="1"/>
  <c r="K104" i="1"/>
  <c r="L104" i="1" s="1"/>
  <c r="K105" i="1"/>
  <c r="L105" i="1" s="1"/>
  <c r="K24" i="1"/>
  <c r="L24" i="1" s="1"/>
  <c r="K40" i="1"/>
  <c r="L40" i="1" s="1"/>
  <c r="K56" i="1"/>
  <c r="L56" i="1" s="1"/>
  <c r="K72" i="1"/>
  <c r="L72" i="1" s="1"/>
  <c r="K88" i="1"/>
  <c r="L88" i="1" s="1"/>
  <c r="K120" i="1"/>
  <c r="L120" i="1" s="1"/>
  <c r="K57" i="1"/>
  <c r="L57" i="1" s="1"/>
  <c r="K89" i="1"/>
  <c r="L89" i="1" s="1"/>
  <c r="K137" i="1"/>
  <c r="L137" i="1" s="1"/>
  <c r="K25" i="1"/>
  <c r="L25" i="1" s="1"/>
  <c r="K73" i="1"/>
  <c r="L73" i="1" s="1"/>
  <c r="K121" i="1"/>
  <c r="L121" i="1" s="1"/>
  <c r="K156" i="1"/>
  <c r="K126" i="1"/>
  <c r="L126" i="1" s="1"/>
  <c r="K96" i="1"/>
  <c r="L96" i="1" s="1"/>
  <c r="K66" i="1"/>
  <c r="L66" i="1" s="1"/>
  <c r="K43" i="1"/>
  <c r="L43" i="1" s="1"/>
  <c r="K13" i="1"/>
  <c r="L13" i="1" s="1"/>
  <c r="L12" i="1"/>
  <c r="Q2" i="1"/>
  <c r="R2" i="1" s="1"/>
  <c r="Q135" i="1"/>
  <c r="R135" i="1" s="1"/>
  <c r="Q105" i="1"/>
  <c r="R105" i="1" s="1"/>
  <c r="Q73" i="1"/>
  <c r="R73" i="1" s="1"/>
  <c r="Q41" i="1"/>
  <c r="R41" i="1" s="1"/>
  <c r="M149" i="1"/>
  <c r="N149" i="1" s="1"/>
  <c r="M133" i="1"/>
  <c r="N133" i="1" s="1"/>
  <c r="M117" i="1"/>
  <c r="N117" i="1" s="1"/>
  <c r="M101" i="1"/>
  <c r="N101" i="1" s="1"/>
  <c r="M85" i="1"/>
  <c r="N85" i="1" s="1"/>
  <c r="M69" i="1"/>
  <c r="N69" i="1" s="1"/>
  <c r="M53" i="1"/>
  <c r="N53" i="1" s="1"/>
  <c r="M37" i="1"/>
  <c r="N37" i="1" s="1"/>
  <c r="M21" i="1"/>
  <c r="N21" i="1" s="1"/>
  <c r="M5" i="1"/>
  <c r="N5" i="1" s="1"/>
  <c r="O155" i="1"/>
  <c r="P155" i="1" s="1"/>
  <c r="O139" i="1"/>
  <c r="P139" i="1" s="1"/>
  <c r="O123" i="1"/>
  <c r="P123" i="1" s="1"/>
  <c r="O107" i="1"/>
  <c r="P107" i="1" s="1"/>
  <c r="O91" i="1"/>
  <c r="P91" i="1" s="1"/>
  <c r="O75" i="1"/>
  <c r="P75" i="1" s="1"/>
  <c r="O59" i="1"/>
  <c r="P59" i="1" s="1"/>
  <c r="O43" i="1"/>
  <c r="P43" i="1" s="1"/>
  <c r="O27" i="1"/>
  <c r="P27" i="1" s="1"/>
  <c r="O11" i="1"/>
  <c r="P11" i="1" s="1"/>
  <c r="M148" i="1"/>
  <c r="N148" i="1" s="1"/>
  <c r="M132" i="1"/>
  <c r="N132" i="1" s="1"/>
  <c r="M116" i="1"/>
  <c r="N116" i="1" s="1"/>
  <c r="M100" i="1"/>
  <c r="N100" i="1" s="1"/>
  <c r="M84" i="1"/>
  <c r="N84" i="1" s="1"/>
  <c r="M68" i="1"/>
  <c r="N68" i="1" s="1"/>
  <c r="M52" i="1"/>
  <c r="N52" i="1" s="1"/>
  <c r="M36" i="1"/>
  <c r="N36" i="1" s="1"/>
  <c r="M20" i="1"/>
  <c r="N20" i="1" s="1"/>
  <c r="M4" i="1"/>
  <c r="N4" i="1" s="1"/>
  <c r="O154" i="1"/>
  <c r="P154" i="1" s="1"/>
  <c r="O138" i="1"/>
  <c r="P138" i="1" s="1"/>
  <c r="O122" i="1"/>
  <c r="P122" i="1" s="1"/>
  <c r="O106" i="1"/>
  <c r="P106" i="1" s="1"/>
  <c r="O90" i="1"/>
  <c r="P90" i="1" s="1"/>
  <c r="O74" i="1"/>
  <c r="P74" i="1" s="1"/>
  <c r="O58" i="1"/>
  <c r="P58" i="1" s="1"/>
  <c r="O42" i="1"/>
  <c r="P42" i="1" s="1"/>
  <c r="O26" i="1"/>
  <c r="P26" i="1" s="1"/>
  <c r="O10" i="1"/>
  <c r="P10" i="1" s="1"/>
  <c r="M147" i="1"/>
  <c r="N147" i="1" s="1"/>
  <c r="M131" i="1"/>
  <c r="N131" i="1" s="1"/>
  <c r="M115" i="1"/>
  <c r="N115" i="1" s="1"/>
  <c r="M99" i="1"/>
  <c r="N99" i="1" s="1"/>
  <c r="M83" i="1"/>
  <c r="N83" i="1" s="1"/>
  <c r="M67" i="1"/>
  <c r="N67" i="1" s="1"/>
  <c r="M51" i="1"/>
  <c r="N51" i="1" s="1"/>
  <c r="M35" i="1"/>
  <c r="N35" i="1" s="1"/>
  <c r="M19" i="1"/>
  <c r="N19" i="1" s="1"/>
  <c r="M3" i="1"/>
  <c r="N3" i="1" s="1"/>
  <c r="O153" i="1"/>
  <c r="O137" i="1"/>
  <c r="P137" i="1" s="1"/>
  <c r="O121" i="1"/>
  <c r="P121" i="1" s="1"/>
  <c r="O105" i="1"/>
  <c r="P105" i="1" s="1"/>
  <c r="O89" i="1"/>
  <c r="P89" i="1" s="1"/>
  <c r="O73" i="1"/>
  <c r="P73" i="1" s="1"/>
  <c r="O57" i="1"/>
  <c r="P57" i="1" s="1"/>
  <c r="O41" i="1"/>
  <c r="P41" i="1" s="1"/>
  <c r="O25" i="1"/>
  <c r="P25" i="1" s="1"/>
  <c r="O9" i="1"/>
  <c r="P9" i="1" s="1"/>
  <c r="M146" i="1"/>
  <c r="N146" i="1" s="1"/>
  <c r="M130" i="1"/>
  <c r="N130" i="1" s="1"/>
  <c r="M114" i="1"/>
  <c r="N114" i="1" s="1"/>
  <c r="M98" i="1"/>
  <c r="N98" i="1" s="1"/>
  <c r="M82" i="1"/>
  <c r="N82" i="1" s="1"/>
  <c r="M66" i="1"/>
  <c r="N66" i="1" s="1"/>
  <c r="M50" i="1"/>
  <c r="N50" i="1" s="1"/>
  <c r="M34" i="1"/>
  <c r="N34" i="1" s="1"/>
  <c r="M18" i="1"/>
  <c r="N18" i="1" s="1"/>
  <c r="O152" i="1"/>
  <c r="P152" i="1" s="1"/>
  <c r="O136" i="1"/>
  <c r="P136" i="1" s="1"/>
  <c r="O120" i="1"/>
  <c r="P120" i="1" s="1"/>
  <c r="O104" i="1"/>
  <c r="P104" i="1" s="1"/>
  <c r="O88" i="1"/>
  <c r="P88" i="1" s="1"/>
  <c r="O72" i="1"/>
  <c r="P72" i="1" s="1"/>
  <c r="O56" i="1"/>
  <c r="P56" i="1" s="1"/>
  <c r="O40" i="1"/>
  <c r="P40" i="1" s="1"/>
  <c r="O24" i="1"/>
  <c r="P24" i="1" s="1"/>
  <c r="O8" i="1"/>
  <c r="P8" i="1" s="1"/>
  <c r="L70" i="1"/>
  <c r="L156" i="1"/>
  <c r="M145" i="1"/>
  <c r="M129" i="1"/>
  <c r="N129" i="1" s="1"/>
  <c r="M113" i="1"/>
  <c r="N113" i="1" s="1"/>
  <c r="M97" i="1"/>
  <c r="N97" i="1" s="1"/>
  <c r="M81" i="1"/>
  <c r="N81" i="1" s="1"/>
  <c r="M65" i="1"/>
  <c r="N65" i="1" s="1"/>
  <c r="M49" i="1"/>
  <c r="N49" i="1" s="1"/>
  <c r="M33" i="1"/>
  <c r="N33" i="1" s="1"/>
  <c r="M17" i="1"/>
  <c r="N17" i="1" s="1"/>
  <c r="N57" i="1"/>
  <c r="O151" i="1"/>
  <c r="P151" i="1" s="1"/>
  <c r="O135" i="1"/>
  <c r="P135" i="1" s="1"/>
  <c r="O119" i="1"/>
  <c r="P119" i="1" s="1"/>
  <c r="O103" i="1"/>
  <c r="P103" i="1" s="1"/>
  <c r="O87" i="1"/>
  <c r="P87" i="1" s="1"/>
  <c r="O71" i="1"/>
  <c r="O55" i="1"/>
  <c r="P55" i="1" s="1"/>
  <c r="O39" i="1"/>
  <c r="O23" i="1"/>
  <c r="P23" i="1" s="1"/>
  <c r="O7" i="1"/>
  <c r="P7" i="1" s="1"/>
  <c r="P71" i="1"/>
  <c r="L157" i="1"/>
  <c r="L151" i="1"/>
  <c r="M2" i="1"/>
  <c r="N2" i="1" s="1"/>
  <c r="M144" i="1"/>
  <c r="N144" i="1" s="1"/>
  <c r="M128" i="1"/>
  <c r="N128" i="1" s="1"/>
  <c r="M112" i="1"/>
  <c r="N112" i="1" s="1"/>
  <c r="M96" i="1"/>
  <c r="N96" i="1" s="1"/>
  <c r="M80" i="1"/>
  <c r="N80" i="1" s="1"/>
  <c r="M64" i="1"/>
  <c r="N64" i="1" s="1"/>
  <c r="M48" i="1"/>
  <c r="N48" i="1" s="1"/>
  <c r="M32" i="1"/>
  <c r="N32" i="1" s="1"/>
  <c r="M16" i="1"/>
  <c r="N16" i="1" s="1"/>
  <c r="O150" i="1"/>
  <c r="P150" i="1" s="1"/>
  <c r="O134" i="1"/>
  <c r="P134" i="1" s="1"/>
  <c r="O118" i="1"/>
  <c r="P118" i="1" s="1"/>
  <c r="O102" i="1"/>
  <c r="P102" i="1" s="1"/>
  <c r="O86" i="1"/>
  <c r="P86" i="1" s="1"/>
  <c r="O70" i="1"/>
  <c r="P70" i="1" s="1"/>
  <c r="O54" i="1"/>
  <c r="P54" i="1" s="1"/>
  <c r="O38" i="1"/>
  <c r="P38" i="1" s="1"/>
  <c r="O22" i="1"/>
  <c r="P22" i="1" s="1"/>
  <c r="O6" i="1"/>
  <c r="P6" i="1" s="1"/>
  <c r="R78" i="1"/>
  <c r="M159" i="1"/>
  <c r="N159" i="1" s="1"/>
  <c r="M143" i="1"/>
  <c r="N143" i="1" s="1"/>
  <c r="M127" i="1"/>
  <c r="N127" i="1" s="1"/>
  <c r="M111" i="1"/>
  <c r="N111" i="1" s="1"/>
  <c r="M95" i="1"/>
  <c r="N95" i="1" s="1"/>
  <c r="M79" i="1"/>
  <c r="N79" i="1" s="1"/>
  <c r="M63" i="1"/>
  <c r="N63" i="1" s="1"/>
  <c r="M47" i="1"/>
  <c r="N47" i="1" s="1"/>
  <c r="M31" i="1"/>
  <c r="N31" i="1" s="1"/>
  <c r="O149" i="1"/>
  <c r="P149" i="1" s="1"/>
  <c r="O133" i="1"/>
  <c r="P133" i="1" s="1"/>
  <c r="O117" i="1"/>
  <c r="P117" i="1" s="1"/>
  <c r="O101" i="1"/>
  <c r="P101" i="1" s="1"/>
  <c r="O85" i="1"/>
  <c r="P85" i="1" s="1"/>
  <c r="O69" i="1"/>
  <c r="P69" i="1" s="1"/>
  <c r="O53" i="1"/>
  <c r="P53" i="1" s="1"/>
  <c r="O37" i="1"/>
  <c r="P37" i="1" s="1"/>
  <c r="O21" i="1"/>
  <c r="P21" i="1" s="1"/>
  <c r="P157" i="1"/>
  <c r="P153" i="1"/>
  <c r="R153" i="1"/>
  <c r="R152" i="1"/>
  <c r="R150" i="1"/>
  <c r="P144" i="1"/>
  <c r="L144" i="1"/>
  <c r="P78" i="1"/>
  <c r="N78" i="1"/>
  <c r="L71" i="1"/>
</calcChain>
</file>

<file path=xl/sharedStrings.xml><?xml version="1.0" encoding="utf-8"?>
<sst xmlns="http://schemas.openxmlformats.org/spreadsheetml/2006/main" count="813" uniqueCount="272">
  <si>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</si>
  <si>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</si>
  <si>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</si>
  <si>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</si>
  <si>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</si>
  <si>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</si>
  <si>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</si>
  <si>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</si>
  <si>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</si>
  <si>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emfpm10</t>
  </si>
  <si>
    <t>emfpm25</t>
  </si>
  <si>
    <t>emfso2</t>
  </si>
  <si>
    <t>emfnox</t>
  </si>
  <si>
    <t>SPB-1</t>
  </si>
  <si>
    <t>Abul Khair Ltd</t>
  </si>
  <si>
    <t>Downstream</t>
  </si>
  <si>
    <t>Bangladesh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</si>
  <si>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</si>
  <si>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</si>
  <si>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</si>
  <si>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</si>
  <si>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</si>
  <si>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</si>
  <si>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</si>
  <si>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</si>
  <si>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</si>
  <si>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SPI-1</t>
  </si>
  <si>
    <t>Jindal Stainless Ltd</t>
  </si>
  <si>
    <t>Haryana</t>
  </si>
  <si>
    <t>India</t>
  </si>
  <si>
    <t>SPI-2</t>
  </si>
  <si>
    <t>KR Steel Union Ltd</t>
  </si>
  <si>
    <t>West Bengal</t>
  </si>
  <si>
    <t>SPI-3</t>
  </si>
  <si>
    <t>Orissa Metaliks Pvt Ltd</t>
  </si>
  <si>
    <t>Integrated</t>
  </si>
  <si>
    <t>SPI-4</t>
  </si>
  <si>
    <t>Steel Authority of India Ltd</t>
  </si>
  <si>
    <t>SPI-5</t>
  </si>
  <si>
    <t>SPI-6</t>
  </si>
  <si>
    <t>SPI-7</t>
  </si>
  <si>
    <t>Tata Steel Ltd</t>
  </si>
  <si>
    <t>SPI-8</t>
  </si>
  <si>
    <t>Uttar Pradesh</t>
  </si>
  <si>
    <t>SPI-9</t>
  </si>
  <si>
    <t>Usha Martin Ltd</t>
  </si>
  <si>
    <t>Punjab</t>
  </si>
  <si>
    <t>SPI-10</t>
  </si>
  <si>
    <t>SPI-11</t>
  </si>
  <si>
    <t>SPI-12</t>
  </si>
  <si>
    <t>SPI-13</t>
  </si>
  <si>
    <t>SPI-14</t>
  </si>
  <si>
    <t>SPI-15</t>
  </si>
  <si>
    <t>SPI-16</t>
  </si>
  <si>
    <t>SPI-17</t>
  </si>
  <si>
    <t>SPI-18</t>
  </si>
  <si>
    <t>SPI-19</t>
  </si>
  <si>
    <t>SPI-20</t>
  </si>
  <si>
    <t>SPI-21</t>
  </si>
  <si>
    <t>SPI-22</t>
  </si>
  <si>
    <t>Essar Steel India Ltd</t>
  </si>
  <si>
    <t>Gujarat</t>
  </si>
  <si>
    <t>SPI-23</t>
  </si>
  <si>
    <t>Maharashtra</t>
  </si>
  <si>
    <t>SPI-24</t>
  </si>
  <si>
    <t>Andhra Pradesh</t>
  </si>
  <si>
    <t>SPI-25</t>
  </si>
  <si>
    <t>Odisha</t>
  </si>
  <si>
    <t>SPI-26</t>
  </si>
  <si>
    <t>BMM ISPAT Ltd</t>
  </si>
  <si>
    <t>Karnataka</t>
  </si>
  <si>
    <t>SPI-27</t>
  </si>
  <si>
    <t>JSW Steel Ltd</t>
  </si>
  <si>
    <t>SPI-28</t>
  </si>
  <si>
    <t>Tamil Nadu</t>
  </si>
  <si>
    <t>SPI-29</t>
  </si>
  <si>
    <t>SPI-30</t>
  </si>
  <si>
    <t>Bhushan Power &amp; Steel Ltd</t>
  </si>
  <si>
    <t>SPI-31</t>
  </si>
  <si>
    <t>JSW Ispat Steel Ltd</t>
  </si>
  <si>
    <t>Chhattisgarh</t>
  </si>
  <si>
    <t>SPI-32</t>
  </si>
  <si>
    <t>SPI-33</t>
  </si>
  <si>
    <t>SPI-34</t>
  </si>
  <si>
    <t>SPI-35</t>
  </si>
  <si>
    <t>Jayaswal Neco Industries Ltd</t>
  </si>
  <si>
    <t>SPI-36</t>
  </si>
  <si>
    <t>SPI-37</t>
  </si>
  <si>
    <t>SPI-38</t>
  </si>
  <si>
    <t>SPI-39</t>
  </si>
  <si>
    <t>Jindal Steel And Power Ltd</t>
  </si>
  <si>
    <t>Jharkhand</t>
  </si>
  <si>
    <t>SPI-40</t>
  </si>
  <si>
    <t>SPI-41</t>
  </si>
  <si>
    <t>SPI-42</t>
  </si>
  <si>
    <t>SPI-43</t>
  </si>
  <si>
    <t>SPI-44</t>
  </si>
  <si>
    <t>Kudremukh Iron Ore Co</t>
  </si>
  <si>
    <t>Pelletisation</t>
  </si>
  <si>
    <t>SPI-45</t>
  </si>
  <si>
    <t>Hospet Steels Ltd</t>
  </si>
  <si>
    <t>SPI-46</t>
  </si>
  <si>
    <t>Mukand Ltd</t>
  </si>
  <si>
    <t>SPI-47</t>
  </si>
  <si>
    <t>NMDC Ltd</t>
  </si>
  <si>
    <t>SPI-48</t>
  </si>
  <si>
    <t>Neelachal Ispat Nigam Ltd</t>
  </si>
  <si>
    <t>SPI-49</t>
  </si>
  <si>
    <t>SPI-50</t>
  </si>
  <si>
    <t>POSCO Maharashtra Steel Pvt Ltd</t>
  </si>
  <si>
    <t>SPI-51</t>
  </si>
  <si>
    <t>Rashtriya Ispat Nigam Limited (RINL) (Ministry of Steel)</t>
  </si>
  <si>
    <t>SPI-52</t>
  </si>
  <si>
    <t>Bokaro Steel Plant Ltd</t>
  </si>
  <si>
    <t>SPI-53</t>
  </si>
  <si>
    <t>Indian Iron &amp; Steel Co Ltd</t>
  </si>
  <si>
    <t>SPI-54</t>
  </si>
  <si>
    <t>SPI-55</t>
  </si>
  <si>
    <t>Bhilai Steel Plant Ltd</t>
  </si>
  <si>
    <t>SPI-56</t>
  </si>
  <si>
    <t>Rourkela Steel Ltd</t>
  </si>
  <si>
    <t>SPI-57</t>
  </si>
  <si>
    <t>Salem Steel Plant Ltd</t>
  </si>
  <si>
    <t>SPI-58</t>
  </si>
  <si>
    <t>SPI-59</t>
  </si>
  <si>
    <t>Chandarpur Ferro Alloy Plant</t>
  </si>
  <si>
    <t>SPI-60</t>
  </si>
  <si>
    <t>Visvesvaraya Iron &amp; Steel</t>
  </si>
  <si>
    <t>SPI-61</t>
  </si>
  <si>
    <t>Steel Exchange India Ltd</t>
  </si>
  <si>
    <t>SPI-62</t>
  </si>
  <si>
    <t>Sunflag Iron and Steel Co Ltd</t>
  </si>
  <si>
    <t>SPI-63</t>
  </si>
  <si>
    <t>SPI-64</t>
  </si>
  <si>
    <t>SPI-65</t>
  </si>
  <si>
    <t>Tata Metaliks Ltd</t>
  </si>
  <si>
    <t>SPI-66</t>
  </si>
  <si>
    <t>Tata Steel BSL Ltd</t>
  </si>
  <si>
    <t>SPI-67</t>
  </si>
  <si>
    <t>Tata BlueScope Steel Ltd</t>
  </si>
  <si>
    <t>SPI-68</t>
  </si>
  <si>
    <t>Tata Steel Long Products Ltd</t>
  </si>
  <si>
    <t>SPI-69</t>
  </si>
  <si>
    <t>SPI-70</t>
  </si>
  <si>
    <t>SPI-71</t>
  </si>
  <si>
    <t>SPI-72</t>
  </si>
  <si>
    <t>T S Alloys Ltd</t>
  </si>
  <si>
    <t>SPI-73</t>
  </si>
  <si>
    <t>SPI-74</t>
  </si>
  <si>
    <t>Thyssenkrupp Electrical Steel (India) Pvt Ltd</t>
  </si>
  <si>
    <t>SPI-75</t>
  </si>
  <si>
    <t>SPI-76</t>
  </si>
  <si>
    <t>SPI-77</t>
  </si>
  <si>
    <t>Visa Steel Ltd</t>
  </si>
  <si>
    <t>Integrated and Mini-Mill</t>
  </si>
  <si>
    <t>SPI-78</t>
  </si>
  <si>
    <t>SPI-79</t>
  </si>
  <si>
    <t>SPI-80</t>
  </si>
  <si>
    <t>SPI-81</t>
  </si>
  <si>
    <t>SPI-82</t>
  </si>
  <si>
    <t>SPI-83</t>
  </si>
  <si>
    <t>SPI-84</t>
  </si>
  <si>
    <t>SPI-85</t>
  </si>
  <si>
    <t>SPI-86</t>
  </si>
  <si>
    <t>SPI-87</t>
  </si>
  <si>
    <t>SPI-88</t>
  </si>
  <si>
    <t>SPI-89</t>
  </si>
  <si>
    <t>SPI-90</t>
  </si>
  <si>
    <t>SPI-91</t>
  </si>
  <si>
    <t>SPI-92</t>
  </si>
  <si>
    <t>SPI-93</t>
  </si>
  <si>
    <t>SPI-94</t>
  </si>
  <si>
    <t>Goa</t>
  </si>
  <si>
    <t>SPI-95</t>
  </si>
  <si>
    <t>SPI-96</t>
  </si>
  <si>
    <t>SPI-97</t>
  </si>
  <si>
    <t>SPI-98</t>
  </si>
  <si>
    <t>SPI-99</t>
  </si>
  <si>
    <t>Telangana</t>
  </si>
  <si>
    <t>SPI-100</t>
  </si>
  <si>
    <t>SPI-101</t>
  </si>
  <si>
    <t>SPI-102</t>
  </si>
  <si>
    <t>SPI-103</t>
  </si>
  <si>
    <t>SPI-104</t>
  </si>
  <si>
    <t>SPI-105</t>
  </si>
  <si>
    <t>SPI-106</t>
  </si>
  <si>
    <t>SPI-107</t>
  </si>
  <si>
    <t>SPI-108</t>
  </si>
  <si>
    <t>SPI-109</t>
  </si>
  <si>
    <t>SPI-110</t>
  </si>
  <si>
    <t>SPI-111</t>
  </si>
  <si>
    <t>SPI-112</t>
  </si>
  <si>
    <t>SPI-113</t>
  </si>
  <si>
    <t>SPI-114</t>
  </si>
  <si>
    <t>SPI-115</t>
  </si>
  <si>
    <t>SPI-116</t>
  </si>
  <si>
    <t>SPI-117</t>
  </si>
  <si>
    <t>SPI-118</t>
  </si>
  <si>
    <t>Madhya Pradesh</t>
  </si>
  <si>
    <t>SPI-119</t>
  </si>
  <si>
    <t>SPI-120</t>
  </si>
  <si>
    <t>SPI-121</t>
  </si>
  <si>
    <t>SPI-122</t>
  </si>
  <si>
    <t>SPI-123</t>
  </si>
  <si>
    <t>SPI-124</t>
  </si>
  <si>
    <t>SPI-125</t>
  </si>
  <si>
    <t>SPI-126</t>
  </si>
  <si>
    <t>SPI-127</t>
  </si>
  <si>
    <t>SPI-128</t>
  </si>
  <si>
    <t>SPI-129</t>
  </si>
  <si>
    <t>SPI-130</t>
  </si>
  <si>
    <t>SPI-131</t>
  </si>
  <si>
    <t>SPI-132</t>
  </si>
  <si>
    <t>SPP-1</t>
  </si>
  <si>
    <t>Tuwairqi Steel Mills Ltd</t>
  </si>
  <si>
    <t>DRI</t>
  </si>
  <si>
    <t>Sindh</t>
  </si>
  <si>
    <t>Pakistan</t>
  </si>
  <si>
    <t>SPP-2</t>
  </si>
  <si>
    <t>Amreli Steels Ltd</t>
  </si>
  <si>
    <t>SPP-3</t>
  </si>
  <si>
    <t>Aisha Steel Mills Ltd</t>
  </si>
  <si>
    <t>SPP-4</t>
  </si>
  <si>
    <t>International Steels Ltd</t>
  </si>
  <si>
    <t>SPP-5</t>
  </si>
  <si>
    <t>Ishtiaq Steel Industry</t>
  </si>
  <si>
    <t>SPP-6</t>
  </si>
  <si>
    <t>Ittefaq Iron Industries Ltd</t>
  </si>
  <si>
    <t>SPP-7</t>
  </si>
  <si>
    <t>Pakistan Steel Mills Corp Pvt Ltd</t>
  </si>
  <si>
    <t>SPP-8</t>
  </si>
  <si>
    <t>Peoples Steel Mills Ltd</t>
  </si>
  <si>
    <t>SPP-9</t>
  </si>
  <si>
    <t xml:space="preserve">Siddiqsons Tin Plate Ltd </t>
  </si>
  <si>
    <t>Balochistan</t>
  </si>
  <si>
    <t>SPP-10</t>
  </si>
  <si>
    <t>Al Tuwairqi Holding Co</t>
  </si>
  <si>
    <t>SPP-11</t>
  </si>
  <si>
    <t>SPP-12</t>
  </si>
  <si>
    <t>Arif Habib Corporation Ltd</t>
  </si>
  <si>
    <t>SPP-13</t>
  </si>
  <si>
    <t>International Industries Ltd</t>
  </si>
  <si>
    <t>SPP-14</t>
  </si>
  <si>
    <t>SPP-15</t>
  </si>
  <si>
    <t>SPP-16</t>
  </si>
  <si>
    <t>SPP-17</t>
  </si>
  <si>
    <t>SPP-18</t>
  </si>
  <si>
    <t>Siddiqsons Group</t>
  </si>
  <si>
    <t>Pollutant</t>
  </si>
  <si>
    <t>EF</t>
  </si>
  <si>
    <t>Unit</t>
  </si>
  <si>
    <t>EF normalised (tonnes of pollutant/tonnes of production)</t>
  </si>
  <si>
    <t>Notes</t>
  </si>
  <si>
    <t>PM2.5</t>
  </si>
  <si>
    <t xml:space="preserve"> tonne/000 tonnes</t>
  </si>
  <si>
    <t>SO2</t>
  </si>
  <si>
    <t>NOx</t>
  </si>
  <si>
    <t>PM10*</t>
  </si>
  <si>
    <t>This is estimated by taking global PM10:PM2.5 ratio from the paper that is 1.5185 and multiplying that with PM2.5 EF</t>
  </si>
  <si>
    <t>The average emission intensities of developing countries are 2.51 ton of PM2.5, 1.44 ton of SO2, and 0.47 ton of NOx per thousand ton of crude steel produced. </t>
  </si>
  <si>
    <t>Source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</si>
  <si>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</si>
  <si>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capacity_tonnes</t>
  </si>
  <si>
    <t>pm10_t_yr</t>
  </si>
  <si>
    <t>pm25_t_yr</t>
  </si>
  <si>
    <t>so2_t_yr</t>
  </si>
  <si>
    <t>nox_t_yr</t>
  </si>
  <si>
    <t>KY Steel</t>
  </si>
  <si>
    <t>SPB-7</t>
  </si>
  <si>
    <t>Kabir Steel Rolling Mills (KSRM)</t>
  </si>
  <si>
    <t>SPB-8</t>
  </si>
  <si>
    <t>GPH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</si>
</sst>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top" wrapText="1"/>
    </xf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C039-05FF-412C-8052-2378DE6F90DD}">
  <dimension ref="A1:S159"/>
  <sheetViews>
    <sheetView tabSelected="1" topLeftCell="A284" workbookViewId="0">
      <selection activeCell="B117" sqref="A1:R159"/>
    </sheetView>
  </sheetViews>
  <sheetFormatPr defaultRowHeight="14.4" x14ac:dyDescent="0.3"/>
  <cols>
    <col min="2" max="2" width="44.4414062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262</v>
      </c>
      <c r="K1" s="2" t="s">
        <v>9</v>
      </c>
      <c r="L1" s="2" t="s">
        <v>263</v>
      </c>
      <c r="M1" s="2" t="s">
        <v>10</v>
      </c>
      <c r="N1" s="2" t="s">
        <v>264</v>
      </c>
      <c r="O1" s="2" t="s">
        <v>11</v>
      </c>
      <c r="P1" s="2" t="s">
        <v>265</v>
      </c>
      <c r="Q1" s="2" t="s">
        <v>12</v>
      </c>
      <c r="R1" s="2" t="s">
        <v>266</v>
      </c>
      <c r="S1" s="2"/>
    </row>
    <row r="2" spans="1:19" x14ac:dyDescent="0.3">
      <c r="A2" s="2" t="s">
        <v>13</v>
      </c>
      <c r="B2" s="2" t="s">
        <v>14</v>
      </c>
      <c r="C2" s="2">
        <v>22.444118</v>
      </c>
      <c r="D2" s="2">
        <v>91.740168999999995</v>
      </c>
      <c r="E2" s="2" t="s">
        <v>15</v>
      </c>
      <c r="F2" s="2"/>
      <c r="G2" s="2" t="s">
        <v>20</v>
      </c>
      <c r="H2" s="2" t="s">
        <v>16</v>
      </c>
      <c r="I2" s="2" t="s">
        <v>17</v>
      </c>
      <c r="J2" s="5">
        <v>750000</v>
      </c>
      <c r="K2" s="2">
        <f>Sheet1!$D$5</f>
        <v>3.81E-3</v>
      </c>
      <c r="L2" s="2">
        <f>J2*K2</f>
        <v>2857.5</v>
      </c>
      <c r="M2" s="2">
        <f>Sheet1!$D$2</f>
        <v>2.5099999999999996E-3</v>
      </c>
      <c r="N2" s="2">
        <f>J2*M2</f>
        <v>1882.4999999999998</v>
      </c>
      <c r="O2" s="2">
        <f>Sheet1!$D$3</f>
        <v>1.4399999999999999E-3</v>
      </c>
      <c r="P2" s="2">
        <f>J2*O2</f>
        <v>1080</v>
      </c>
      <c r="Q2" s="2">
        <f>Sheet1!$D$4</f>
        <v>4.6999999999999999E-4</v>
      </c>
      <c r="R2" s="2">
        <f>Q2*J2</f>
        <v>352.5</v>
      </c>
    </row>
    <row r="3" spans="1:19" x14ac:dyDescent="0.3">
      <c r="A3" s="2" t="s">
        <v>18</v>
      </c>
      <c r="B3" s="2" t="s">
        <v>14</v>
      </c>
      <c r="C3" s="2">
        <v>22.472007999999999</v>
      </c>
      <c r="D3" s="2">
        <v>91.734826999999996</v>
      </c>
      <c r="E3" s="2" t="s">
        <v>19</v>
      </c>
      <c r="F3" s="2"/>
      <c r="G3" s="2" t="s">
        <v>20</v>
      </c>
      <c r="H3" s="2" t="s">
        <v>16</v>
      </c>
      <c r="I3" s="2" t="s">
        <v>17</v>
      </c>
      <c r="J3" s="2">
        <v>1400000</v>
      </c>
      <c r="K3" s="2">
        <f>Sheet1!$D$5</f>
        <v>3.81E-3</v>
      </c>
      <c r="L3" s="2">
        <f t="shared" ref="L3:L66" si="0">J3*K3</f>
        <v>5334</v>
      </c>
      <c r="M3" s="2">
        <f>Sheet1!$D$2</f>
        <v>2.5099999999999996E-3</v>
      </c>
      <c r="N3" s="2">
        <f t="shared" ref="N3:N66" si="1">J3*M3</f>
        <v>3513.9999999999995</v>
      </c>
      <c r="O3" s="2">
        <f>Sheet1!$D$3</f>
        <v>1.4399999999999999E-3</v>
      </c>
      <c r="P3" s="2">
        <f t="shared" ref="P3:P66" si="2">J3*O3</f>
        <v>2015.9999999999998</v>
      </c>
      <c r="Q3" s="2">
        <f>Sheet1!$D$4</f>
        <v>4.6999999999999999E-4</v>
      </c>
      <c r="R3" s="2">
        <f t="shared" ref="R3:R66" si="3">Q3*J3</f>
        <v>658</v>
      </c>
    </row>
    <row r="4" spans="1:19" x14ac:dyDescent="0.3">
      <c r="A4" s="2" t="s">
        <v>21</v>
      </c>
      <c r="B4" s="2" t="s">
        <v>22</v>
      </c>
      <c r="C4" s="2">
        <v>22.381060000000002</v>
      </c>
      <c r="D4" s="2">
        <v>91.768619999999999</v>
      </c>
      <c r="E4" s="2" t="s">
        <v>15</v>
      </c>
      <c r="F4" s="2"/>
      <c r="G4" s="2" t="s">
        <v>20</v>
      </c>
      <c r="H4" s="2" t="s">
        <v>16</v>
      </c>
      <c r="I4" s="2" t="s">
        <v>17</v>
      </c>
      <c r="J4" s="2"/>
      <c r="K4" s="2">
        <f>Sheet1!$D$5</f>
        <v>3.81E-3</v>
      </c>
      <c r="L4" s="2">
        <f t="shared" si="0"/>
        <v>0</v>
      </c>
      <c r="M4" s="2">
        <f>Sheet1!$D$2</f>
        <v>2.5099999999999996E-3</v>
      </c>
      <c r="N4" s="2">
        <f t="shared" si="1"/>
        <v>0</v>
      </c>
      <c r="O4" s="2">
        <f>Sheet1!$D$3</f>
        <v>1.4399999999999999E-3</v>
      </c>
      <c r="P4" s="2">
        <f t="shared" si="2"/>
        <v>0</v>
      </c>
      <c r="Q4" s="2">
        <f>Sheet1!$D$4</f>
        <v>4.6999999999999999E-4</v>
      </c>
      <c r="R4" s="2">
        <f t="shared" si="3"/>
        <v>0</v>
      </c>
    </row>
    <row r="5" spans="1:19" x14ac:dyDescent="0.3">
      <c r="A5" s="2" t="s">
        <v>23</v>
      </c>
      <c r="B5" s="2" t="s">
        <v>22</v>
      </c>
      <c r="C5" s="2">
        <v>22.383963999999999</v>
      </c>
      <c r="D5" s="2">
        <v>91.810239999999993</v>
      </c>
      <c r="E5" s="2" t="s">
        <v>15</v>
      </c>
      <c r="F5" s="2"/>
      <c r="G5" s="2" t="s">
        <v>20</v>
      </c>
      <c r="H5" s="2" t="s">
        <v>16</v>
      </c>
      <c r="I5" s="2" t="s">
        <v>17</v>
      </c>
      <c r="J5" s="5">
        <v>450000</v>
      </c>
      <c r="K5" s="2">
        <f>Sheet1!$D$5</f>
        <v>3.81E-3</v>
      </c>
      <c r="L5" s="2">
        <f t="shared" si="0"/>
        <v>1714.5</v>
      </c>
      <c r="M5" s="2">
        <f>Sheet1!$D$2</f>
        <v>2.5099999999999996E-3</v>
      </c>
      <c r="N5" s="2">
        <f t="shared" si="1"/>
        <v>1129.4999999999998</v>
      </c>
      <c r="O5" s="2">
        <f>Sheet1!$D$3</f>
        <v>1.4399999999999999E-3</v>
      </c>
      <c r="P5" s="2">
        <f t="shared" si="2"/>
        <v>648</v>
      </c>
      <c r="Q5" s="2">
        <f>Sheet1!$D$4</f>
        <v>4.6999999999999999E-4</v>
      </c>
      <c r="R5" s="2">
        <f t="shared" si="3"/>
        <v>211.5</v>
      </c>
    </row>
    <row r="6" spans="1:19" x14ac:dyDescent="0.3">
      <c r="A6" s="2" t="s">
        <v>24</v>
      </c>
      <c r="B6" s="2" t="s">
        <v>22</v>
      </c>
      <c r="C6" s="2">
        <v>22.871759999999998</v>
      </c>
      <c r="D6" s="2">
        <v>91.546567999999994</v>
      </c>
      <c r="E6" s="2" t="s">
        <v>19</v>
      </c>
      <c r="F6" s="2"/>
      <c r="G6" s="2" t="s">
        <v>20</v>
      </c>
      <c r="H6" s="2" t="s">
        <v>16</v>
      </c>
      <c r="I6" s="2" t="s">
        <v>17</v>
      </c>
      <c r="J6" s="5">
        <v>700000</v>
      </c>
      <c r="K6" s="2">
        <f>Sheet1!$D$5</f>
        <v>3.81E-3</v>
      </c>
      <c r="L6" s="2">
        <f t="shared" si="0"/>
        <v>2667</v>
      </c>
      <c r="M6" s="2">
        <f>Sheet1!$D$2</f>
        <v>2.5099999999999996E-3</v>
      </c>
      <c r="N6" s="2">
        <f t="shared" si="1"/>
        <v>1756.9999999999998</v>
      </c>
      <c r="O6" s="2">
        <f>Sheet1!$D$3</f>
        <v>1.4399999999999999E-3</v>
      </c>
      <c r="P6" s="2">
        <f t="shared" si="2"/>
        <v>1007.9999999999999</v>
      </c>
      <c r="Q6" s="2">
        <f>Sheet1!$D$4</f>
        <v>4.6999999999999999E-4</v>
      </c>
      <c r="R6" s="2">
        <f t="shared" si="3"/>
        <v>329</v>
      </c>
    </row>
    <row r="7" spans="1:19" x14ac:dyDescent="0.3">
      <c r="A7" s="2" t="s">
        <v>25</v>
      </c>
      <c r="B7" s="2" t="s">
        <v>267</v>
      </c>
      <c r="C7" s="2">
        <v>22.499834</v>
      </c>
      <c r="D7" s="2">
        <v>91.715778</v>
      </c>
      <c r="E7" s="2"/>
      <c r="F7" s="2"/>
      <c r="G7" s="2" t="s">
        <v>20</v>
      </c>
      <c r="H7" s="2" t="s">
        <v>16</v>
      </c>
      <c r="I7" s="2" t="s">
        <v>17</v>
      </c>
      <c r="J7" s="2"/>
      <c r="K7" s="2">
        <f>Sheet1!$D$5</f>
        <v>3.81E-3</v>
      </c>
      <c r="L7" s="2">
        <f t="shared" si="0"/>
        <v>0</v>
      </c>
      <c r="M7" s="2">
        <f>Sheet1!$D$2</f>
        <v>2.5099999999999996E-3</v>
      </c>
      <c r="N7" s="2">
        <f t="shared" si="1"/>
        <v>0</v>
      </c>
      <c r="O7" s="2">
        <f>Sheet1!$D$3</f>
        <v>1.4399999999999999E-3</v>
      </c>
      <c r="P7" s="2">
        <f t="shared" si="2"/>
        <v>0</v>
      </c>
      <c r="Q7" s="2">
        <f>Sheet1!$D$4</f>
        <v>4.6999999999999999E-4</v>
      </c>
      <c r="R7" s="2">
        <f t="shared" si="3"/>
        <v>0</v>
      </c>
    </row>
    <row r="8" spans="1:19" x14ac:dyDescent="0.3">
      <c r="A8" s="2" t="s">
        <v>268</v>
      </c>
      <c r="B8" s="2" t="s">
        <v>269</v>
      </c>
      <c r="C8" s="2">
        <v>22.501431068930302</v>
      </c>
      <c r="D8" s="2">
        <v>91.714040780335495</v>
      </c>
      <c r="E8" s="2"/>
      <c r="F8" s="2"/>
      <c r="G8" s="2" t="s">
        <v>20</v>
      </c>
      <c r="H8" s="2" t="s">
        <v>16</v>
      </c>
      <c r="I8" s="2" t="s">
        <v>17</v>
      </c>
      <c r="J8" s="5">
        <v>800000</v>
      </c>
      <c r="K8" s="2">
        <f>Sheet1!$D$5</f>
        <v>3.81E-3</v>
      </c>
      <c r="L8" s="2">
        <f t="shared" si="0"/>
        <v>3048</v>
      </c>
      <c r="M8" s="2">
        <f>Sheet1!$D$2</f>
        <v>2.5099999999999996E-3</v>
      </c>
      <c r="N8" s="2">
        <f t="shared" si="1"/>
        <v>2007.9999999999998</v>
      </c>
      <c r="O8" s="2">
        <f>Sheet1!$D$3</f>
        <v>1.4399999999999999E-3</v>
      </c>
      <c r="P8" s="2">
        <f t="shared" si="2"/>
        <v>1152</v>
      </c>
      <c r="Q8" s="2">
        <f>Sheet1!$D$4</f>
        <v>4.6999999999999999E-4</v>
      </c>
      <c r="R8" s="2">
        <f t="shared" si="3"/>
        <v>376</v>
      </c>
    </row>
    <row r="9" spans="1:19" x14ac:dyDescent="0.3">
      <c r="A9" s="2" t="s">
        <v>270</v>
      </c>
      <c r="B9" s="2" t="s">
        <v>271</v>
      </c>
      <c r="C9" s="2">
        <v>22.536569</v>
      </c>
      <c r="D9" s="2">
        <v>91.700728999999995</v>
      </c>
      <c r="E9" s="2"/>
      <c r="F9" s="2"/>
      <c r="G9" s="2" t="s">
        <v>20</v>
      </c>
      <c r="H9" s="2" t="s">
        <v>16</v>
      </c>
      <c r="I9" s="2" t="s">
        <v>17</v>
      </c>
      <c r="J9" s="5">
        <v>1051000</v>
      </c>
      <c r="K9" s="2">
        <f>Sheet1!$D$5</f>
        <v>3.81E-3</v>
      </c>
      <c r="L9" s="2">
        <f t="shared" si="0"/>
        <v>4004.31</v>
      </c>
      <c r="M9" s="2">
        <f>Sheet1!$D$2</f>
        <v>2.5099999999999996E-3</v>
      </c>
      <c r="N9" s="2">
        <f t="shared" si="1"/>
        <v>2638.0099999999998</v>
      </c>
      <c r="O9" s="2">
        <f>Sheet1!$D$3</f>
        <v>1.4399999999999999E-3</v>
      </c>
      <c r="P9" s="2">
        <f t="shared" si="2"/>
        <v>1513.4399999999998</v>
      </c>
      <c r="Q9" s="2">
        <f>Sheet1!$D$4</f>
        <v>4.6999999999999999E-4</v>
      </c>
      <c r="R9" s="2">
        <f t="shared" si="3"/>
        <v>493.96999999999997</v>
      </c>
    </row>
    <row r="10" spans="1:19" x14ac:dyDescent="0.3">
      <c r="A10" t="s">
        <v>26</v>
      </c>
      <c r="B10" t="s">
        <v>27</v>
      </c>
      <c r="C10">
        <v>29.127253</v>
      </c>
      <c r="D10">
        <v>75.773075000000006</v>
      </c>
      <c r="G10" t="s">
        <v>28</v>
      </c>
      <c r="H10" t="s">
        <v>29</v>
      </c>
      <c r="I10" t="s">
        <v>17</v>
      </c>
      <c r="K10" s="2">
        <f>Sheet1!$D$5</f>
        <v>3.81E-3</v>
      </c>
      <c r="L10" s="2">
        <f t="shared" si="0"/>
        <v>0</v>
      </c>
      <c r="M10" s="2">
        <f>Sheet1!$D$2</f>
        <v>2.5099999999999996E-3</v>
      </c>
      <c r="N10" s="2">
        <f t="shared" si="1"/>
        <v>0</v>
      </c>
      <c r="O10" s="2">
        <f>Sheet1!$D$3</f>
        <v>1.4399999999999999E-3</v>
      </c>
      <c r="P10" s="2">
        <f t="shared" si="2"/>
        <v>0</v>
      </c>
      <c r="Q10" s="2">
        <f>Sheet1!$D$4</f>
        <v>4.6999999999999999E-4</v>
      </c>
      <c r="R10" s="2">
        <f t="shared" si="3"/>
        <v>0</v>
      </c>
    </row>
    <row r="11" spans="1:19" x14ac:dyDescent="0.3">
      <c r="A11" t="s">
        <v>30</v>
      </c>
      <c r="B11" t="s">
        <v>31</v>
      </c>
      <c r="C11">
        <v>22.976512</v>
      </c>
      <c r="D11">
        <v>88.461179999999999</v>
      </c>
      <c r="G11" t="s">
        <v>32</v>
      </c>
      <c r="H11" t="s">
        <v>29</v>
      </c>
      <c r="I11" t="s">
        <v>17</v>
      </c>
      <c r="K11" s="2">
        <f>Sheet1!$D$5</f>
        <v>3.81E-3</v>
      </c>
      <c r="L11" s="2">
        <f t="shared" si="0"/>
        <v>0</v>
      </c>
      <c r="M11" s="2">
        <f>Sheet1!$D$2</f>
        <v>2.5099999999999996E-3</v>
      </c>
      <c r="N11" s="2">
        <f t="shared" si="1"/>
        <v>0</v>
      </c>
      <c r="O11" s="2">
        <f>Sheet1!$D$3</f>
        <v>1.4399999999999999E-3</v>
      </c>
      <c r="P11" s="2">
        <f t="shared" si="2"/>
        <v>0</v>
      </c>
      <c r="Q11" s="2">
        <f>Sheet1!$D$4</f>
        <v>4.6999999999999999E-4</v>
      </c>
      <c r="R11" s="2">
        <f t="shared" si="3"/>
        <v>0</v>
      </c>
    </row>
    <row r="12" spans="1:19" x14ac:dyDescent="0.3">
      <c r="A12" t="s">
        <v>33</v>
      </c>
      <c r="B12" t="s">
        <v>34</v>
      </c>
      <c r="C12">
        <v>22.378354999999999</v>
      </c>
      <c r="D12">
        <v>87.281773000000001</v>
      </c>
      <c r="E12" t="s">
        <v>35</v>
      </c>
      <c r="G12" t="s">
        <v>32</v>
      </c>
      <c r="H12" t="s">
        <v>29</v>
      </c>
      <c r="I12" t="s">
        <v>17</v>
      </c>
      <c r="J12">
        <f>0.99*1000000</f>
        <v>990000</v>
      </c>
      <c r="K12" s="2">
        <f>Sheet1!$D$5</f>
        <v>3.81E-3</v>
      </c>
      <c r="L12" s="2">
        <f t="shared" si="0"/>
        <v>3771.9</v>
      </c>
      <c r="M12" s="2">
        <f>Sheet1!$D$2</f>
        <v>2.5099999999999996E-3</v>
      </c>
      <c r="N12" s="2">
        <f t="shared" si="1"/>
        <v>2484.8999999999996</v>
      </c>
      <c r="O12" s="2">
        <f>Sheet1!$D$3</f>
        <v>1.4399999999999999E-3</v>
      </c>
      <c r="P12" s="2">
        <f t="shared" si="2"/>
        <v>1425.6</v>
      </c>
      <c r="Q12" s="2">
        <f>Sheet1!$D$4</f>
        <v>4.6999999999999999E-4</v>
      </c>
      <c r="R12" s="2">
        <f t="shared" si="3"/>
        <v>465.3</v>
      </c>
    </row>
    <row r="13" spans="1:19" x14ac:dyDescent="0.3">
      <c r="A13" t="s">
        <v>36</v>
      </c>
      <c r="B13" t="s">
        <v>37</v>
      </c>
      <c r="C13">
        <v>23.665198</v>
      </c>
      <c r="D13">
        <v>86.917455000000004</v>
      </c>
      <c r="E13" t="s">
        <v>35</v>
      </c>
      <c r="G13" t="s">
        <v>32</v>
      </c>
      <c r="H13" t="s">
        <v>29</v>
      </c>
      <c r="I13" t="s">
        <v>17</v>
      </c>
      <c r="K13" s="2">
        <f>Sheet1!$D$5</f>
        <v>3.81E-3</v>
      </c>
      <c r="L13" s="2">
        <f t="shared" si="0"/>
        <v>0</v>
      </c>
      <c r="M13" s="2">
        <f>Sheet1!$D$2</f>
        <v>2.5099999999999996E-3</v>
      </c>
      <c r="N13" s="2">
        <f t="shared" si="1"/>
        <v>0</v>
      </c>
      <c r="O13" s="2">
        <f>Sheet1!$D$3</f>
        <v>1.4399999999999999E-3</v>
      </c>
      <c r="P13" s="2">
        <f t="shared" si="2"/>
        <v>0</v>
      </c>
      <c r="Q13" s="2">
        <f>Sheet1!$D$4</f>
        <v>4.6999999999999999E-4</v>
      </c>
      <c r="R13" s="2">
        <f t="shared" si="3"/>
        <v>0</v>
      </c>
    </row>
    <row r="14" spans="1:19" x14ac:dyDescent="0.3">
      <c r="A14" t="s">
        <v>38</v>
      </c>
      <c r="B14" t="s">
        <v>37</v>
      </c>
      <c r="C14">
        <v>23.546441999999999</v>
      </c>
      <c r="D14">
        <v>87.249551999999994</v>
      </c>
      <c r="E14" t="s">
        <v>35</v>
      </c>
      <c r="G14" t="s">
        <v>32</v>
      </c>
      <c r="H14" t="s">
        <v>29</v>
      </c>
      <c r="I14" t="s">
        <v>17</v>
      </c>
      <c r="K14" s="2">
        <f>Sheet1!$D$5</f>
        <v>3.81E-3</v>
      </c>
      <c r="L14" s="2">
        <f t="shared" si="0"/>
        <v>0</v>
      </c>
      <c r="M14" s="2">
        <f>Sheet1!$D$2</f>
        <v>2.5099999999999996E-3</v>
      </c>
      <c r="N14" s="2">
        <f t="shared" si="1"/>
        <v>0</v>
      </c>
      <c r="O14" s="2">
        <f>Sheet1!$D$3</f>
        <v>1.4399999999999999E-3</v>
      </c>
      <c r="P14" s="2">
        <f t="shared" si="2"/>
        <v>0</v>
      </c>
      <c r="Q14" s="2">
        <f>Sheet1!$D$4</f>
        <v>4.6999999999999999E-4</v>
      </c>
      <c r="R14" s="2">
        <f t="shared" si="3"/>
        <v>0</v>
      </c>
    </row>
    <row r="15" spans="1:19" x14ac:dyDescent="0.3">
      <c r="A15" t="s">
        <v>39</v>
      </c>
      <c r="B15" t="s">
        <v>37</v>
      </c>
      <c r="C15">
        <v>23.522881999999999</v>
      </c>
      <c r="D15">
        <v>87.275935000000004</v>
      </c>
      <c r="G15" t="s">
        <v>32</v>
      </c>
      <c r="H15" t="s">
        <v>29</v>
      </c>
      <c r="I15" t="s">
        <v>17</v>
      </c>
      <c r="K15" s="2">
        <f>Sheet1!$D$5</f>
        <v>3.81E-3</v>
      </c>
      <c r="L15" s="2">
        <f t="shared" si="0"/>
        <v>0</v>
      </c>
      <c r="M15" s="2">
        <f>Sheet1!$D$2</f>
        <v>2.5099999999999996E-3</v>
      </c>
      <c r="N15" s="2">
        <f t="shared" si="1"/>
        <v>0</v>
      </c>
      <c r="O15" s="2">
        <f>Sheet1!$D$3</f>
        <v>1.4399999999999999E-3</v>
      </c>
      <c r="P15" s="2">
        <f t="shared" si="2"/>
        <v>0</v>
      </c>
      <c r="Q15" s="2">
        <f>Sheet1!$D$4</f>
        <v>4.6999999999999999E-4</v>
      </c>
      <c r="R15" s="2">
        <f t="shared" si="3"/>
        <v>0</v>
      </c>
    </row>
    <row r="16" spans="1:19" x14ac:dyDescent="0.3">
      <c r="A16" t="s">
        <v>40</v>
      </c>
      <c r="B16" t="s">
        <v>41</v>
      </c>
      <c r="C16">
        <v>22.385611000000001</v>
      </c>
      <c r="D16">
        <v>87.287178999999995</v>
      </c>
      <c r="E16" t="s">
        <v>35</v>
      </c>
      <c r="G16" t="s">
        <v>32</v>
      </c>
      <c r="H16" t="s">
        <v>29</v>
      </c>
      <c r="I16" t="s">
        <v>17</v>
      </c>
      <c r="K16" s="2">
        <f>Sheet1!$D$5</f>
        <v>3.81E-3</v>
      </c>
      <c r="L16" s="2">
        <f t="shared" si="0"/>
        <v>0</v>
      </c>
      <c r="M16" s="2">
        <f>Sheet1!$D$2</f>
        <v>2.5099999999999996E-3</v>
      </c>
      <c r="N16" s="2">
        <f t="shared" si="1"/>
        <v>0</v>
      </c>
      <c r="O16" s="2">
        <f>Sheet1!$D$3</f>
        <v>1.4399999999999999E-3</v>
      </c>
      <c r="P16" s="2">
        <f t="shared" si="2"/>
        <v>0</v>
      </c>
      <c r="Q16" s="2">
        <f>Sheet1!$D$4</f>
        <v>4.6999999999999999E-4</v>
      </c>
      <c r="R16" s="2">
        <f t="shared" si="3"/>
        <v>0</v>
      </c>
    </row>
    <row r="17" spans="1:18" x14ac:dyDescent="0.3">
      <c r="A17" t="s">
        <v>42</v>
      </c>
      <c r="B17" t="s">
        <v>41</v>
      </c>
      <c r="C17">
        <v>28.648921000000001</v>
      </c>
      <c r="D17">
        <v>77.331907000000001</v>
      </c>
      <c r="G17" t="s">
        <v>43</v>
      </c>
      <c r="H17" t="s">
        <v>29</v>
      </c>
      <c r="I17" t="s">
        <v>17</v>
      </c>
      <c r="K17" s="2">
        <f>Sheet1!$D$5</f>
        <v>3.81E-3</v>
      </c>
      <c r="L17" s="2">
        <f t="shared" si="0"/>
        <v>0</v>
      </c>
      <c r="M17" s="2">
        <f>Sheet1!$D$2</f>
        <v>2.5099999999999996E-3</v>
      </c>
      <c r="N17" s="2">
        <f t="shared" si="1"/>
        <v>0</v>
      </c>
      <c r="O17" s="2">
        <f>Sheet1!$D$3</f>
        <v>1.4399999999999999E-3</v>
      </c>
      <c r="P17" s="2">
        <f t="shared" si="2"/>
        <v>0</v>
      </c>
      <c r="Q17" s="2">
        <f>Sheet1!$D$4</f>
        <v>4.6999999999999999E-4</v>
      </c>
      <c r="R17" s="2">
        <f t="shared" si="3"/>
        <v>0</v>
      </c>
    </row>
    <row r="18" spans="1:18" x14ac:dyDescent="0.3">
      <c r="A18" t="s">
        <v>44</v>
      </c>
      <c r="B18" t="s">
        <v>45</v>
      </c>
      <c r="C18">
        <v>31.583477999999999</v>
      </c>
      <c r="D18">
        <v>75.950789999999998</v>
      </c>
      <c r="G18" t="s">
        <v>46</v>
      </c>
      <c r="H18" t="s">
        <v>29</v>
      </c>
      <c r="I18" t="s">
        <v>17</v>
      </c>
      <c r="K18" s="2">
        <f>Sheet1!$D$5</f>
        <v>3.81E-3</v>
      </c>
      <c r="L18" s="2">
        <f t="shared" si="0"/>
        <v>0</v>
      </c>
      <c r="M18" s="2">
        <f>Sheet1!$D$2</f>
        <v>2.5099999999999996E-3</v>
      </c>
      <c r="N18" s="2">
        <f t="shared" si="1"/>
        <v>0</v>
      </c>
      <c r="O18" s="2">
        <f>Sheet1!$D$3</f>
        <v>1.4399999999999999E-3</v>
      </c>
      <c r="P18" s="2">
        <f t="shared" si="2"/>
        <v>0</v>
      </c>
      <c r="Q18" s="2">
        <f>Sheet1!$D$4</f>
        <v>4.6999999999999999E-4</v>
      </c>
      <c r="R18" s="2">
        <f t="shared" si="3"/>
        <v>0</v>
      </c>
    </row>
    <row r="19" spans="1:18" x14ac:dyDescent="0.3">
      <c r="A19" t="s">
        <v>47</v>
      </c>
      <c r="C19">
        <v>26.581306000000001</v>
      </c>
      <c r="D19">
        <v>80.560423</v>
      </c>
      <c r="G19" t="s">
        <v>43</v>
      </c>
      <c r="H19" t="s">
        <v>29</v>
      </c>
      <c r="I19" t="s">
        <v>17</v>
      </c>
      <c r="K19" s="2">
        <f>Sheet1!$D$5</f>
        <v>3.81E-3</v>
      </c>
      <c r="L19" s="2">
        <f t="shared" si="0"/>
        <v>0</v>
      </c>
      <c r="M19" s="2">
        <f>Sheet1!$D$2</f>
        <v>2.5099999999999996E-3</v>
      </c>
      <c r="N19" s="2">
        <f t="shared" si="1"/>
        <v>0</v>
      </c>
      <c r="O19" s="2">
        <f>Sheet1!$D$3</f>
        <v>1.4399999999999999E-3</v>
      </c>
      <c r="P19" s="2">
        <f t="shared" si="2"/>
        <v>0</v>
      </c>
      <c r="Q19" s="2">
        <f>Sheet1!$D$4</f>
        <v>4.6999999999999999E-4</v>
      </c>
      <c r="R19" s="2">
        <f t="shared" si="3"/>
        <v>0</v>
      </c>
    </row>
    <row r="20" spans="1:18" x14ac:dyDescent="0.3">
      <c r="A20" t="s">
        <v>48</v>
      </c>
      <c r="C20">
        <v>26.561084000000001</v>
      </c>
      <c r="D20">
        <v>80.532490999999993</v>
      </c>
      <c r="G20" t="s">
        <v>43</v>
      </c>
      <c r="H20" t="s">
        <v>29</v>
      </c>
      <c r="I20" t="s">
        <v>17</v>
      </c>
      <c r="K20" s="2">
        <f>Sheet1!$D$5</f>
        <v>3.81E-3</v>
      </c>
      <c r="L20" s="2">
        <f t="shared" si="0"/>
        <v>0</v>
      </c>
      <c r="M20" s="2">
        <f>Sheet1!$D$2</f>
        <v>2.5099999999999996E-3</v>
      </c>
      <c r="N20" s="2">
        <f t="shared" si="1"/>
        <v>0</v>
      </c>
      <c r="O20" s="2">
        <f>Sheet1!$D$3</f>
        <v>1.4399999999999999E-3</v>
      </c>
      <c r="P20" s="2">
        <f t="shared" si="2"/>
        <v>0</v>
      </c>
      <c r="Q20" s="2">
        <f>Sheet1!$D$4</f>
        <v>4.6999999999999999E-4</v>
      </c>
      <c r="R20" s="2">
        <f t="shared" si="3"/>
        <v>0</v>
      </c>
    </row>
    <row r="21" spans="1:18" x14ac:dyDescent="0.3">
      <c r="A21" t="s">
        <v>49</v>
      </c>
      <c r="C21">
        <v>23.776212999999998</v>
      </c>
      <c r="D21">
        <v>86.866906</v>
      </c>
      <c r="G21" t="s">
        <v>32</v>
      </c>
      <c r="H21" t="s">
        <v>29</v>
      </c>
      <c r="I21" t="s">
        <v>17</v>
      </c>
      <c r="K21" s="2">
        <f>Sheet1!$D$5</f>
        <v>3.81E-3</v>
      </c>
      <c r="L21" s="2">
        <f t="shared" si="0"/>
        <v>0</v>
      </c>
      <c r="M21" s="2">
        <f>Sheet1!$D$2</f>
        <v>2.5099999999999996E-3</v>
      </c>
      <c r="N21" s="2">
        <f t="shared" si="1"/>
        <v>0</v>
      </c>
      <c r="O21" s="2">
        <f>Sheet1!$D$3</f>
        <v>1.4399999999999999E-3</v>
      </c>
      <c r="P21" s="2">
        <f t="shared" si="2"/>
        <v>0</v>
      </c>
      <c r="Q21" s="2">
        <f>Sheet1!$D$4</f>
        <v>4.6999999999999999E-4</v>
      </c>
      <c r="R21" s="2">
        <f t="shared" si="3"/>
        <v>0</v>
      </c>
    </row>
    <row r="22" spans="1:18" x14ac:dyDescent="0.3">
      <c r="A22" t="s">
        <v>50</v>
      </c>
      <c r="C22">
        <v>22.054667999999999</v>
      </c>
      <c r="D22">
        <v>88.126161999999994</v>
      </c>
      <c r="G22" t="s">
        <v>32</v>
      </c>
      <c r="H22" t="s">
        <v>29</v>
      </c>
      <c r="I22" t="s">
        <v>17</v>
      </c>
      <c r="K22" s="2">
        <f>Sheet1!$D$5</f>
        <v>3.81E-3</v>
      </c>
      <c r="L22" s="2">
        <f t="shared" si="0"/>
        <v>0</v>
      </c>
      <c r="M22" s="2">
        <f>Sheet1!$D$2</f>
        <v>2.5099999999999996E-3</v>
      </c>
      <c r="N22" s="2">
        <f t="shared" si="1"/>
        <v>0</v>
      </c>
      <c r="O22" s="2">
        <f>Sheet1!$D$3</f>
        <v>1.4399999999999999E-3</v>
      </c>
      <c r="P22" s="2">
        <f t="shared" si="2"/>
        <v>0</v>
      </c>
      <c r="Q22" s="2">
        <f>Sheet1!$D$4</f>
        <v>4.6999999999999999E-4</v>
      </c>
      <c r="R22" s="2">
        <f t="shared" si="3"/>
        <v>0</v>
      </c>
    </row>
    <row r="23" spans="1:18" x14ac:dyDescent="0.3">
      <c r="A23" t="s">
        <v>51</v>
      </c>
      <c r="C23">
        <v>22.715727999999999</v>
      </c>
      <c r="D23">
        <v>88.372253000000001</v>
      </c>
      <c r="G23" t="s">
        <v>32</v>
      </c>
      <c r="H23" t="s">
        <v>29</v>
      </c>
      <c r="I23" t="s">
        <v>17</v>
      </c>
      <c r="K23" s="2">
        <f>Sheet1!$D$5</f>
        <v>3.81E-3</v>
      </c>
      <c r="L23" s="2">
        <f t="shared" si="0"/>
        <v>0</v>
      </c>
      <c r="M23" s="2">
        <f>Sheet1!$D$2</f>
        <v>2.5099999999999996E-3</v>
      </c>
      <c r="N23" s="2">
        <f t="shared" si="1"/>
        <v>0</v>
      </c>
      <c r="O23" s="2">
        <f>Sheet1!$D$3</f>
        <v>1.4399999999999999E-3</v>
      </c>
      <c r="P23" s="2">
        <f t="shared" si="2"/>
        <v>0</v>
      </c>
      <c r="Q23" s="2">
        <f>Sheet1!$D$4</f>
        <v>4.6999999999999999E-4</v>
      </c>
      <c r="R23" s="2">
        <f t="shared" si="3"/>
        <v>0</v>
      </c>
    </row>
    <row r="24" spans="1:18" x14ac:dyDescent="0.3">
      <c r="A24" t="s">
        <v>52</v>
      </c>
      <c r="C24">
        <v>22.635024000000001</v>
      </c>
      <c r="D24">
        <v>88.337701999999993</v>
      </c>
      <c r="G24" t="s">
        <v>32</v>
      </c>
      <c r="H24" t="s">
        <v>29</v>
      </c>
      <c r="I24" t="s">
        <v>17</v>
      </c>
      <c r="K24" s="2">
        <f>Sheet1!$D$5</f>
        <v>3.81E-3</v>
      </c>
      <c r="L24" s="2">
        <f t="shared" si="0"/>
        <v>0</v>
      </c>
      <c r="M24" s="2">
        <f>Sheet1!$D$2</f>
        <v>2.5099999999999996E-3</v>
      </c>
      <c r="N24" s="2">
        <f t="shared" si="1"/>
        <v>0</v>
      </c>
      <c r="O24" s="2">
        <f>Sheet1!$D$3</f>
        <v>1.4399999999999999E-3</v>
      </c>
      <c r="P24" s="2">
        <f t="shared" si="2"/>
        <v>0</v>
      </c>
      <c r="Q24" s="2">
        <f>Sheet1!$D$4</f>
        <v>4.6999999999999999E-4</v>
      </c>
      <c r="R24" s="2">
        <f t="shared" si="3"/>
        <v>0</v>
      </c>
    </row>
    <row r="25" spans="1:18" x14ac:dyDescent="0.3">
      <c r="A25" t="s">
        <v>53</v>
      </c>
      <c r="C25">
        <v>28.097508000000001</v>
      </c>
      <c r="D25">
        <v>76.582409999999996</v>
      </c>
      <c r="G25" t="s">
        <v>28</v>
      </c>
      <c r="H25" t="s">
        <v>29</v>
      </c>
      <c r="I25" t="s">
        <v>17</v>
      </c>
      <c r="K25" s="2">
        <f>Sheet1!$D$5</f>
        <v>3.81E-3</v>
      </c>
      <c r="L25" s="2">
        <f t="shared" si="0"/>
        <v>0</v>
      </c>
      <c r="M25" s="2">
        <f>Sheet1!$D$2</f>
        <v>2.5099999999999996E-3</v>
      </c>
      <c r="N25" s="2">
        <f t="shared" si="1"/>
        <v>0</v>
      </c>
      <c r="O25" s="2">
        <f>Sheet1!$D$3</f>
        <v>1.4399999999999999E-3</v>
      </c>
      <c r="P25" s="2">
        <f t="shared" si="2"/>
        <v>0</v>
      </c>
      <c r="Q25" s="2">
        <f>Sheet1!$D$4</f>
        <v>4.6999999999999999E-4</v>
      </c>
      <c r="R25" s="2">
        <f t="shared" si="3"/>
        <v>0</v>
      </c>
    </row>
    <row r="26" spans="1:18" x14ac:dyDescent="0.3">
      <c r="A26" t="s">
        <v>54</v>
      </c>
      <c r="C26">
        <v>28.734515999999999</v>
      </c>
      <c r="D26">
        <v>76.842644000000007</v>
      </c>
      <c r="G26" t="s">
        <v>28</v>
      </c>
      <c r="H26" t="s">
        <v>29</v>
      </c>
      <c r="I26" t="s">
        <v>17</v>
      </c>
      <c r="K26" s="2">
        <f>Sheet1!$D$5</f>
        <v>3.81E-3</v>
      </c>
      <c r="L26" s="2">
        <f t="shared" si="0"/>
        <v>0</v>
      </c>
      <c r="M26" s="2">
        <f>Sheet1!$D$2</f>
        <v>2.5099999999999996E-3</v>
      </c>
      <c r="N26" s="2">
        <f t="shared" si="1"/>
        <v>0</v>
      </c>
      <c r="O26" s="2">
        <f>Sheet1!$D$3</f>
        <v>1.4399999999999999E-3</v>
      </c>
      <c r="P26" s="2">
        <f t="shared" si="2"/>
        <v>0</v>
      </c>
      <c r="Q26" s="2">
        <f>Sheet1!$D$4</f>
        <v>4.6999999999999999E-4</v>
      </c>
      <c r="R26" s="2">
        <f t="shared" si="3"/>
        <v>0</v>
      </c>
    </row>
    <row r="27" spans="1:18" x14ac:dyDescent="0.3">
      <c r="A27" t="s">
        <v>55</v>
      </c>
      <c r="C27">
        <v>30.651464000000001</v>
      </c>
      <c r="D27">
        <v>76.317017000000007</v>
      </c>
      <c r="G27" t="s">
        <v>46</v>
      </c>
      <c r="H27" t="s">
        <v>29</v>
      </c>
      <c r="I27" t="s">
        <v>17</v>
      </c>
      <c r="K27" s="2">
        <f>Sheet1!$D$5</f>
        <v>3.81E-3</v>
      </c>
      <c r="L27" s="2">
        <f t="shared" si="0"/>
        <v>0</v>
      </c>
      <c r="M27" s="2">
        <f>Sheet1!$D$2</f>
        <v>2.5099999999999996E-3</v>
      </c>
      <c r="N27" s="2">
        <f t="shared" si="1"/>
        <v>0</v>
      </c>
      <c r="O27" s="2">
        <f>Sheet1!$D$3</f>
        <v>1.4399999999999999E-3</v>
      </c>
      <c r="P27" s="2">
        <f t="shared" si="2"/>
        <v>0</v>
      </c>
      <c r="Q27" s="2">
        <f>Sheet1!$D$4</f>
        <v>4.6999999999999999E-4</v>
      </c>
      <c r="R27" s="2">
        <f t="shared" si="3"/>
        <v>0</v>
      </c>
    </row>
    <row r="28" spans="1:18" x14ac:dyDescent="0.3">
      <c r="A28" t="s">
        <v>56</v>
      </c>
      <c r="C28">
        <v>30.845731000000001</v>
      </c>
      <c r="D28">
        <v>75.960442</v>
      </c>
      <c r="G28" t="s">
        <v>46</v>
      </c>
      <c r="H28" t="s">
        <v>29</v>
      </c>
      <c r="I28" t="s">
        <v>17</v>
      </c>
      <c r="K28" s="2">
        <f>Sheet1!$D$5</f>
        <v>3.81E-3</v>
      </c>
      <c r="L28" s="2">
        <f t="shared" si="0"/>
        <v>0</v>
      </c>
      <c r="M28" s="2">
        <f>Sheet1!$D$2</f>
        <v>2.5099999999999996E-3</v>
      </c>
      <c r="N28" s="2">
        <f t="shared" si="1"/>
        <v>0</v>
      </c>
      <c r="O28" s="2">
        <f>Sheet1!$D$3</f>
        <v>1.4399999999999999E-3</v>
      </c>
      <c r="P28" s="2">
        <f t="shared" si="2"/>
        <v>0</v>
      </c>
      <c r="Q28" s="2">
        <f>Sheet1!$D$4</f>
        <v>4.6999999999999999E-4</v>
      </c>
      <c r="R28" s="2">
        <f t="shared" si="3"/>
        <v>0</v>
      </c>
    </row>
    <row r="29" spans="1:18" x14ac:dyDescent="0.3">
      <c r="A29" t="s">
        <v>57</v>
      </c>
      <c r="C29">
        <v>30.885415999999999</v>
      </c>
      <c r="D29">
        <v>75.897013000000001</v>
      </c>
      <c r="G29" t="s">
        <v>46</v>
      </c>
      <c r="H29" t="s">
        <v>29</v>
      </c>
      <c r="I29" t="s">
        <v>17</v>
      </c>
      <c r="K29" s="2">
        <f>Sheet1!$D$5</f>
        <v>3.81E-3</v>
      </c>
      <c r="L29" s="2">
        <f t="shared" si="0"/>
        <v>0</v>
      </c>
      <c r="M29" s="2">
        <f>Sheet1!$D$2</f>
        <v>2.5099999999999996E-3</v>
      </c>
      <c r="N29" s="2">
        <f t="shared" si="1"/>
        <v>0</v>
      </c>
      <c r="O29" s="2">
        <f>Sheet1!$D$3</f>
        <v>1.4399999999999999E-3</v>
      </c>
      <c r="P29" s="2">
        <f t="shared" si="2"/>
        <v>0</v>
      </c>
      <c r="Q29" s="2">
        <f>Sheet1!$D$4</f>
        <v>4.6999999999999999E-4</v>
      </c>
      <c r="R29" s="2">
        <f t="shared" si="3"/>
        <v>0</v>
      </c>
    </row>
    <row r="30" spans="1:18" x14ac:dyDescent="0.3">
      <c r="A30" t="s">
        <v>58</v>
      </c>
      <c r="C30">
        <v>30.887595000000001</v>
      </c>
      <c r="D30">
        <v>75.907098000000005</v>
      </c>
      <c r="G30" t="s">
        <v>46</v>
      </c>
      <c r="H30" t="s">
        <v>29</v>
      </c>
      <c r="I30" t="s">
        <v>17</v>
      </c>
      <c r="K30" s="2">
        <f>Sheet1!$D$5</f>
        <v>3.81E-3</v>
      </c>
      <c r="L30" s="2">
        <f t="shared" si="0"/>
        <v>0</v>
      </c>
      <c r="M30" s="2">
        <f>Sheet1!$D$2</f>
        <v>2.5099999999999996E-3</v>
      </c>
      <c r="N30" s="2">
        <f t="shared" si="1"/>
        <v>0</v>
      </c>
      <c r="O30" s="2">
        <f>Sheet1!$D$3</f>
        <v>1.4399999999999999E-3</v>
      </c>
      <c r="P30" s="2">
        <f t="shared" si="2"/>
        <v>0</v>
      </c>
      <c r="Q30" s="2">
        <f>Sheet1!$D$4</f>
        <v>4.6999999999999999E-4</v>
      </c>
      <c r="R30" s="2">
        <f t="shared" si="3"/>
        <v>0</v>
      </c>
    </row>
    <row r="31" spans="1:18" x14ac:dyDescent="0.3">
      <c r="A31" t="s">
        <v>59</v>
      </c>
      <c r="B31" t="s">
        <v>60</v>
      </c>
      <c r="C31">
        <v>21.111322999999999</v>
      </c>
      <c r="D31">
        <v>72.643812999999994</v>
      </c>
      <c r="E31" t="s">
        <v>35</v>
      </c>
      <c r="G31" t="s">
        <v>61</v>
      </c>
      <c r="H31" t="s">
        <v>29</v>
      </c>
      <c r="I31" t="s">
        <v>17</v>
      </c>
      <c r="K31" s="2">
        <f>Sheet1!$D$5</f>
        <v>3.81E-3</v>
      </c>
      <c r="L31" s="2">
        <f t="shared" si="0"/>
        <v>0</v>
      </c>
      <c r="M31" s="2">
        <f>Sheet1!$D$2</f>
        <v>2.5099999999999996E-3</v>
      </c>
      <c r="N31" s="2">
        <f t="shared" si="1"/>
        <v>0</v>
      </c>
      <c r="O31" s="2">
        <f>Sheet1!$D$3</f>
        <v>1.4399999999999999E-3</v>
      </c>
      <c r="P31" s="2">
        <f t="shared" si="2"/>
        <v>0</v>
      </c>
      <c r="Q31" s="2">
        <f>Sheet1!$D$4</f>
        <v>4.6999999999999999E-4</v>
      </c>
      <c r="R31" s="2">
        <f t="shared" si="3"/>
        <v>0</v>
      </c>
    </row>
    <row r="32" spans="1:18" x14ac:dyDescent="0.3">
      <c r="A32" t="s">
        <v>62</v>
      </c>
      <c r="B32" t="s">
        <v>60</v>
      </c>
      <c r="C32">
        <v>18.655587000000001</v>
      </c>
      <c r="D32">
        <v>73.796152000000006</v>
      </c>
      <c r="G32" t="s">
        <v>63</v>
      </c>
      <c r="H32" t="s">
        <v>29</v>
      </c>
      <c r="I32" t="s">
        <v>17</v>
      </c>
      <c r="K32" s="2">
        <f>Sheet1!$D$5</f>
        <v>3.81E-3</v>
      </c>
      <c r="L32" s="2">
        <f t="shared" si="0"/>
        <v>0</v>
      </c>
      <c r="M32" s="2">
        <f>Sheet1!$D$2</f>
        <v>2.5099999999999996E-3</v>
      </c>
      <c r="N32" s="2">
        <f t="shared" si="1"/>
        <v>0</v>
      </c>
      <c r="O32" s="2">
        <f>Sheet1!$D$3</f>
        <v>1.4399999999999999E-3</v>
      </c>
      <c r="P32" s="2">
        <f t="shared" si="2"/>
        <v>0</v>
      </c>
      <c r="Q32" s="2">
        <f>Sheet1!$D$4</f>
        <v>4.6999999999999999E-4</v>
      </c>
      <c r="R32" s="2">
        <f t="shared" si="3"/>
        <v>0</v>
      </c>
    </row>
    <row r="33" spans="1:18" x14ac:dyDescent="0.3">
      <c r="A33" t="s">
        <v>64</v>
      </c>
      <c r="B33" t="s">
        <v>60</v>
      </c>
      <c r="C33">
        <v>17.719148000000001</v>
      </c>
      <c r="D33">
        <v>83.274563999999998</v>
      </c>
      <c r="G33" t="s">
        <v>65</v>
      </c>
      <c r="H33" t="s">
        <v>29</v>
      </c>
      <c r="I33" t="s">
        <v>17</v>
      </c>
      <c r="K33" s="2">
        <f>Sheet1!$D$5</f>
        <v>3.81E-3</v>
      </c>
      <c r="L33" s="2">
        <f t="shared" si="0"/>
        <v>0</v>
      </c>
      <c r="M33" s="2">
        <f>Sheet1!$D$2</f>
        <v>2.5099999999999996E-3</v>
      </c>
      <c r="N33" s="2">
        <f t="shared" si="1"/>
        <v>0</v>
      </c>
      <c r="O33" s="2">
        <f>Sheet1!$D$3</f>
        <v>1.4399999999999999E-3</v>
      </c>
      <c r="P33" s="2">
        <f t="shared" si="2"/>
        <v>0</v>
      </c>
      <c r="Q33" s="2">
        <f>Sheet1!$D$4</f>
        <v>4.6999999999999999E-4</v>
      </c>
      <c r="R33" s="2">
        <f t="shared" si="3"/>
        <v>0</v>
      </c>
    </row>
    <row r="34" spans="1:18" x14ac:dyDescent="0.3">
      <c r="A34" t="s">
        <v>66</v>
      </c>
      <c r="B34" t="s">
        <v>60</v>
      </c>
      <c r="C34">
        <v>20.321456999999999</v>
      </c>
      <c r="D34">
        <v>86.647655</v>
      </c>
      <c r="G34" t="s">
        <v>67</v>
      </c>
      <c r="H34" t="s">
        <v>29</v>
      </c>
      <c r="I34" t="s">
        <v>17</v>
      </c>
      <c r="K34" s="2">
        <f>Sheet1!$D$5</f>
        <v>3.81E-3</v>
      </c>
      <c r="L34" s="2">
        <f t="shared" si="0"/>
        <v>0</v>
      </c>
      <c r="M34" s="2">
        <f>Sheet1!$D$2</f>
        <v>2.5099999999999996E-3</v>
      </c>
      <c r="N34" s="2">
        <f t="shared" si="1"/>
        <v>0</v>
      </c>
      <c r="O34" s="2">
        <f>Sheet1!$D$3</f>
        <v>1.4399999999999999E-3</v>
      </c>
      <c r="P34" s="2">
        <f t="shared" si="2"/>
        <v>0</v>
      </c>
      <c r="Q34" s="2">
        <f>Sheet1!$D$4</f>
        <v>4.6999999999999999E-4</v>
      </c>
      <c r="R34" s="2">
        <f t="shared" si="3"/>
        <v>0</v>
      </c>
    </row>
    <row r="35" spans="1:18" x14ac:dyDescent="0.3">
      <c r="A35" t="s">
        <v>68</v>
      </c>
      <c r="B35" t="s">
        <v>69</v>
      </c>
      <c r="C35">
        <v>15.171144</v>
      </c>
      <c r="D35">
        <v>76.377767000000006</v>
      </c>
      <c r="E35" t="s">
        <v>35</v>
      </c>
      <c r="G35" t="s">
        <v>70</v>
      </c>
      <c r="H35" t="s">
        <v>29</v>
      </c>
      <c r="I35" t="s">
        <v>17</v>
      </c>
      <c r="K35" s="2">
        <f>Sheet1!$D$5</f>
        <v>3.81E-3</v>
      </c>
      <c r="L35" s="2">
        <f t="shared" si="0"/>
        <v>0</v>
      </c>
      <c r="M35" s="2">
        <f>Sheet1!$D$2</f>
        <v>2.5099999999999996E-3</v>
      </c>
      <c r="N35" s="2">
        <f t="shared" si="1"/>
        <v>0</v>
      </c>
      <c r="O35" s="2">
        <f>Sheet1!$D$3</f>
        <v>1.4399999999999999E-3</v>
      </c>
      <c r="P35" s="2">
        <f t="shared" si="2"/>
        <v>0</v>
      </c>
      <c r="Q35" s="2">
        <f>Sheet1!$D$4</f>
        <v>4.6999999999999999E-4</v>
      </c>
      <c r="R35" s="2">
        <f t="shared" si="3"/>
        <v>0</v>
      </c>
    </row>
    <row r="36" spans="1:18" x14ac:dyDescent="0.3">
      <c r="A36" t="s">
        <v>71</v>
      </c>
      <c r="B36" t="s">
        <v>72</v>
      </c>
      <c r="C36">
        <v>18.690093999999998</v>
      </c>
      <c r="D36">
        <v>73.037536000000003</v>
      </c>
      <c r="E36" t="s">
        <v>35</v>
      </c>
      <c r="G36" t="s">
        <v>63</v>
      </c>
      <c r="H36" t="s">
        <v>29</v>
      </c>
      <c r="I36" t="s">
        <v>17</v>
      </c>
      <c r="K36" s="2">
        <f>Sheet1!$D$5</f>
        <v>3.81E-3</v>
      </c>
      <c r="L36" s="2">
        <f t="shared" si="0"/>
        <v>0</v>
      </c>
      <c r="M36" s="2">
        <f>Sheet1!$D$2</f>
        <v>2.5099999999999996E-3</v>
      </c>
      <c r="N36" s="2">
        <f t="shared" si="1"/>
        <v>0</v>
      </c>
      <c r="O36" s="2">
        <f>Sheet1!$D$3</f>
        <v>1.4399999999999999E-3</v>
      </c>
      <c r="P36" s="2">
        <f t="shared" si="2"/>
        <v>0</v>
      </c>
      <c r="Q36" s="2">
        <f>Sheet1!$D$4</f>
        <v>4.6999999999999999E-4</v>
      </c>
      <c r="R36" s="2">
        <f t="shared" si="3"/>
        <v>0</v>
      </c>
    </row>
    <row r="37" spans="1:18" x14ac:dyDescent="0.3">
      <c r="A37" t="s">
        <v>73</v>
      </c>
      <c r="B37" t="s">
        <v>72</v>
      </c>
      <c r="C37">
        <v>11.816179999999999</v>
      </c>
      <c r="D37">
        <v>77.914704</v>
      </c>
      <c r="E37" t="s">
        <v>35</v>
      </c>
      <c r="G37" t="s">
        <v>74</v>
      </c>
      <c r="H37" t="s">
        <v>29</v>
      </c>
      <c r="I37" t="s">
        <v>17</v>
      </c>
      <c r="K37" s="2">
        <f>Sheet1!$D$5</f>
        <v>3.81E-3</v>
      </c>
      <c r="L37" s="2">
        <f t="shared" si="0"/>
        <v>0</v>
      </c>
      <c r="M37" s="2">
        <f>Sheet1!$D$2</f>
        <v>2.5099999999999996E-3</v>
      </c>
      <c r="N37" s="2">
        <f t="shared" si="1"/>
        <v>0</v>
      </c>
      <c r="O37" s="2">
        <f>Sheet1!$D$3</f>
        <v>1.4399999999999999E-3</v>
      </c>
      <c r="P37" s="2">
        <f t="shared" si="2"/>
        <v>0</v>
      </c>
      <c r="Q37" s="2">
        <f>Sheet1!$D$4</f>
        <v>4.6999999999999999E-4</v>
      </c>
      <c r="R37" s="2">
        <f t="shared" si="3"/>
        <v>0</v>
      </c>
    </row>
    <row r="38" spans="1:18" x14ac:dyDescent="0.3">
      <c r="A38" t="s">
        <v>75</v>
      </c>
      <c r="B38" t="s">
        <v>72</v>
      </c>
      <c r="C38">
        <v>15.180540000000001</v>
      </c>
      <c r="D38">
        <v>76.656840000000003</v>
      </c>
      <c r="E38" t="s">
        <v>35</v>
      </c>
      <c r="G38" t="s">
        <v>70</v>
      </c>
      <c r="H38" t="s">
        <v>29</v>
      </c>
      <c r="I38" t="s">
        <v>17</v>
      </c>
      <c r="K38" s="2">
        <f>Sheet1!$D$5</f>
        <v>3.81E-3</v>
      </c>
      <c r="L38" s="2">
        <f t="shared" si="0"/>
        <v>0</v>
      </c>
      <c r="M38" s="2">
        <f>Sheet1!$D$2</f>
        <v>2.5099999999999996E-3</v>
      </c>
      <c r="N38" s="2">
        <f t="shared" si="1"/>
        <v>0</v>
      </c>
      <c r="O38" s="2">
        <f>Sheet1!$D$3</f>
        <v>1.4399999999999999E-3</v>
      </c>
      <c r="P38" s="2">
        <f t="shared" si="2"/>
        <v>0</v>
      </c>
      <c r="Q38" s="2">
        <f>Sheet1!$D$4</f>
        <v>4.6999999999999999E-4</v>
      </c>
      <c r="R38" s="2">
        <f t="shared" si="3"/>
        <v>0</v>
      </c>
    </row>
    <row r="39" spans="1:18" x14ac:dyDescent="0.3">
      <c r="A39" t="s">
        <v>76</v>
      </c>
      <c r="B39" t="s">
        <v>77</v>
      </c>
      <c r="C39">
        <v>21.760297999999999</v>
      </c>
      <c r="D39">
        <v>84.022267999999997</v>
      </c>
      <c r="E39" t="s">
        <v>35</v>
      </c>
      <c r="G39" t="s">
        <v>67</v>
      </c>
      <c r="H39" t="s">
        <v>29</v>
      </c>
      <c r="I39" t="s">
        <v>17</v>
      </c>
      <c r="J39">
        <f>1000000*3.5</f>
        <v>3500000</v>
      </c>
      <c r="K39" s="2">
        <f>Sheet1!$D$5</f>
        <v>3.81E-3</v>
      </c>
      <c r="L39" s="2">
        <f t="shared" si="0"/>
        <v>13335</v>
      </c>
      <c r="M39" s="2">
        <f>Sheet1!$D$2</f>
        <v>2.5099999999999996E-3</v>
      </c>
      <c r="N39" s="2">
        <f t="shared" si="1"/>
        <v>8784.9999999999982</v>
      </c>
      <c r="O39" s="2">
        <f>Sheet1!$D$3</f>
        <v>1.4399999999999999E-3</v>
      </c>
      <c r="P39" s="2">
        <f t="shared" si="2"/>
        <v>5040</v>
      </c>
      <c r="Q39" s="2">
        <f>Sheet1!$D$4</f>
        <v>4.6999999999999999E-4</v>
      </c>
      <c r="R39" s="2">
        <f t="shared" si="3"/>
        <v>1645</v>
      </c>
    </row>
    <row r="40" spans="1:18" x14ac:dyDescent="0.3">
      <c r="A40" t="s">
        <v>78</v>
      </c>
      <c r="B40" t="s">
        <v>79</v>
      </c>
      <c r="C40">
        <v>21.983709000000001</v>
      </c>
      <c r="D40">
        <v>83.238133000000005</v>
      </c>
      <c r="E40" t="s">
        <v>35</v>
      </c>
      <c r="G40" t="s">
        <v>80</v>
      </c>
      <c r="H40" t="s">
        <v>29</v>
      </c>
      <c r="I40" t="s">
        <v>17</v>
      </c>
      <c r="J40">
        <f>1000000*1.5</f>
        <v>1500000</v>
      </c>
      <c r="K40" s="2">
        <f>Sheet1!$D$5</f>
        <v>3.81E-3</v>
      </c>
      <c r="L40" s="2">
        <f t="shared" si="0"/>
        <v>5715</v>
      </c>
      <c r="M40" s="2">
        <f>Sheet1!$D$2</f>
        <v>2.5099999999999996E-3</v>
      </c>
      <c r="N40" s="2">
        <f t="shared" si="1"/>
        <v>3764.9999999999995</v>
      </c>
      <c r="O40" s="2">
        <f>Sheet1!$D$3</f>
        <v>1.4399999999999999E-3</v>
      </c>
      <c r="P40" s="2">
        <f t="shared" si="2"/>
        <v>2160</v>
      </c>
      <c r="Q40" s="2">
        <f>Sheet1!$D$4</f>
        <v>4.6999999999999999E-4</v>
      </c>
      <c r="R40" s="2">
        <f t="shared" si="3"/>
        <v>705</v>
      </c>
    </row>
    <row r="41" spans="1:18" x14ac:dyDescent="0.3">
      <c r="A41" t="s">
        <v>81</v>
      </c>
      <c r="B41" t="s">
        <v>72</v>
      </c>
      <c r="C41">
        <v>21.231231000000001</v>
      </c>
      <c r="D41">
        <v>78.900765000000007</v>
      </c>
      <c r="G41" t="s">
        <v>63</v>
      </c>
      <c r="H41" t="s">
        <v>29</v>
      </c>
      <c r="I41" t="s">
        <v>17</v>
      </c>
      <c r="K41" s="2">
        <f>Sheet1!$D$5</f>
        <v>3.81E-3</v>
      </c>
      <c r="L41" s="2">
        <f t="shared" si="0"/>
        <v>0</v>
      </c>
      <c r="M41" s="2">
        <f>Sheet1!$D$2</f>
        <v>2.5099999999999996E-3</v>
      </c>
      <c r="N41" s="2">
        <f t="shared" si="1"/>
        <v>0</v>
      </c>
      <c r="O41" s="2">
        <f>Sheet1!$D$3</f>
        <v>1.4399999999999999E-3</v>
      </c>
      <c r="P41" s="2">
        <f t="shared" si="2"/>
        <v>0</v>
      </c>
      <c r="Q41" s="2">
        <f>Sheet1!$D$4</f>
        <v>4.6999999999999999E-4</v>
      </c>
      <c r="R41" s="2">
        <f t="shared" si="3"/>
        <v>0</v>
      </c>
    </row>
    <row r="42" spans="1:18" x14ac:dyDescent="0.3">
      <c r="A42" t="s">
        <v>82</v>
      </c>
      <c r="B42" t="s">
        <v>72</v>
      </c>
      <c r="C42">
        <v>19.405092</v>
      </c>
      <c r="D42">
        <v>73.256857999999994</v>
      </c>
      <c r="G42" t="s">
        <v>63</v>
      </c>
      <c r="H42" t="s">
        <v>29</v>
      </c>
      <c r="I42" t="s">
        <v>17</v>
      </c>
      <c r="K42" s="2">
        <f>Sheet1!$D$5</f>
        <v>3.81E-3</v>
      </c>
      <c r="L42" s="2">
        <f t="shared" si="0"/>
        <v>0</v>
      </c>
      <c r="M42" s="2">
        <f>Sheet1!$D$2</f>
        <v>2.5099999999999996E-3</v>
      </c>
      <c r="N42" s="2">
        <f t="shared" si="1"/>
        <v>0</v>
      </c>
      <c r="O42" s="2">
        <f>Sheet1!$D$3</f>
        <v>1.4399999999999999E-3</v>
      </c>
      <c r="P42" s="2">
        <f t="shared" si="2"/>
        <v>0</v>
      </c>
      <c r="Q42" s="2">
        <f>Sheet1!$D$4</f>
        <v>4.6999999999999999E-4</v>
      </c>
      <c r="R42" s="2">
        <f t="shared" si="3"/>
        <v>0</v>
      </c>
    </row>
    <row r="43" spans="1:18" x14ac:dyDescent="0.3">
      <c r="A43" t="s">
        <v>83</v>
      </c>
      <c r="B43" t="s">
        <v>72</v>
      </c>
      <c r="C43">
        <v>19.794505000000001</v>
      </c>
      <c r="D43">
        <v>72.741811999999996</v>
      </c>
      <c r="G43" t="s">
        <v>63</v>
      </c>
      <c r="H43" t="s">
        <v>29</v>
      </c>
      <c r="I43" t="s">
        <v>17</v>
      </c>
      <c r="K43" s="2">
        <f>Sheet1!$D$5</f>
        <v>3.81E-3</v>
      </c>
      <c r="L43" s="2">
        <f t="shared" si="0"/>
        <v>0</v>
      </c>
      <c r="M43" s="2">
        <f>Sheet1!$D$2</f>
        <v>2.5099999999999996E-3</v>
      </c>
      <c r="N43" s="2">
        <f t="shared" si="1"/>
        <v>0</v>
      </c>
      <c r="O43" s="2">
        <f>Sheet1!$D$3</f>
        <v>1.4399999999999999E-3</v>
      </c>
      <c r="P43" s="2">
        <f t="shared" si="2"/>
        <v>0</v>
      </c>
      <c r="Q43" s="2">
        <f>Sheet1!$D$4</f>
        <v>4.6999999999999999E-4</v>
      </c>
      <c r="R43" s="2">
        <f t="shared" si="3"/>
        <v>0</v>
      </c>
    </row>
    <row r="44" spans="1:18" x14ac:dyDescent="0.3">
      <c r="A44" t="s">
        <v>84</v>
      </c>
      <c r="B44" t="s">
        <v>85</v>
      </c>
      <c r="C44">
        <v>21.354495</v>
      </c>
      <c r="D44">
        <v>81.676444000000004</v>
      </c>
      <c r="E44" t="s">
        <v>35</v>
      </c>
      <c r="G44" t="s">
        <v>80</v>
      </c>
      <c r="H44" t="s">
        <v>29</v>
      </c>
      <c r="I44" t="s">
        <v>17</v>
      </c>
      <c r="J44">
        <f>1000000*1</f>
        <v>1000000</v>
      </c>
      <c r="K44" s="2">
        <f>Sheet1!$D$5</f>
        <v>3.81E-3</v>
      </c>
      <c r="L44" s="2">
        <f t="shared" si="0"/>
        <v>3810</v>
      </c>
      <c r="M44" s="2">
        <f>Sheet1!$D$2</f>
        <v>2.5099999999999996E-3</v>
      </c>
      <c r="N44" s="2">
        <f t="shared" si="1"/>
        <v>2509.9999999999995</v>
      </c>
      <c r="O44" s="2">
        <f>Sheet1!$D$3</f>
        <v>1.4399999999999999E-3</v>
      </c>
      <c r="P44" s="2">
        <f t="shared" si="2"/>
        <v>1439.9999999999998</v>
      </c>
      <c r="Q44" s="2">
        <f>Sheet1!$D$4</f>
        <v>4.6999999999999999E-4</v>
      </c>
      <c r="R44" s="2">
        <f t="shared" si="3"/>
        <v>470</v>
      </c>
    </row>
    <row r="45" spans="1:18" x14ac:dyDescent="0.3">
      <c r="A45" t="s">
        <v>86</v>
      </c>
      <c r="B45" t="s">
        <v>27</v>
      </c>
      <c r="C45">
        <v>20.954939</v>
      </c>
      <c r="D45">
        <v>86.051985999999999</v>
      </c>
      <c r="E45" t="s">
        <v>35</v>
      </c>
      <c r="G45" t="s">
        <v>67</v>
      </c>
      <c r="H45" t="s">
        <v>29</v>
      </c>
      <c r="I45" t="s">
        <v>17</v>
      </c>
      <c r="K45" s="2">
        <f>Sheet1!$D$5</f>
        <v>3.81E-3</v>
      </c>
      <c r="L45" s="2">
        <f t="shared" si="0"/>
        <v>0</v>
      </c>
      <c r="M45" s="2">
        <f>Sheet1!$D$2</f>
        <v>2.5099999999999996E-3</v>
      </c>
      <c r="N45" s="2">
        <f t="shared" si="1"/>
        <v>0</v>
      </c>
      <c r="O45" s="2">
        <f>Sheet1!$D$3</f>
        <v>1.4399999999999999E-3</v>
      </c>
      <c r="P45" s="2">
        <f t="shared" si="2"/>
        <v>0</v>
      </c>
      <c r="Q45" s="2">
        <f>Sheet1!$D$4</f>
        <v>4.6999999999999999E-4</v>
      </c>
      <c r="R45" s="2">
        <f t="shared" si="3"/>
        <v>0</v>
      </c>
    </row>
    <row r="46" spans="1:18" x14ac:dyDescent="0.3">
      <c r="A46" t="s">
        <v>87</v>
      </c>
      <c r="B46" t="s">
        <v>27</v>
      </c>
      <c r="C46">
        <v>29.127253</v>
      </c>
      <c r="D46">
        <v>75.773075000000006</v>
      </c>
      <c r="G46" t="s">
        <v>28</v>
      </c>
      <c r="H46" t="s">
        <v>29</v>
      </c>
      <c r="I46" t="s">
        <v>17</v>
      </c>
      <c r="K46" s="2">
        <f>Sheet1!$D$5</f>
        <v>3.81E-3</v>
      </c>
      <c r="L46" s="2">
        <f t="shared" si="0"/>
        <v>0</v>
      </c>
      <c r="M46" s="2">
        <f>Sheet1!$D$2</f>
        <v>2.5099999999999996E-3</v>
      </c>
      <c r="N46" s="2">
        <f t="shared" si="1"/>
        <v>0</v>
      </c>
      <c r="O46" s="2">
        <f>Sheet1!$D$3</f>
        <v>1.4399999999999999E-3</v>
      </c>
      <c r="P46" s="2">
        <f t="shared" si="2"/>
        <v>0</v>
      </c>
      <c r="Q46" s="2">
        <f>Sheet1!$D$4</f>
        <v>4.6999999999999999E-4</v>
      </c>
      <c r="R46" s="2">
        <f t="shared" si="3"/>
        <v>0</v>
      </c>
    </row>
    <row r="47" spans="1:18" x14ac:dyDescent="0.3">
      <c r="A47" t="s">
        <v>88</v>
      </c>
      <c r="B47" t="s">
        <v>27</v>
      </c>
      <c r="C47">
        <v>17.937349999999999</v>
      </c>
      <c r="D47">
        <v>83.187433999999996</v>
      </c>
      <c r="G47" t="s">
        <v>65</v>
      </c>
      <c r="H47" t="s">
        <v>29</v>
      </c>
      <c r="I47" t="s">
        <v>17</v>
      </c>
      <c r="K47" s="2">
        <f>Sheet1!$D$5</f>
        <v>3.81E-3</v>
      </c>
      <c r="L47" s="2">
        <f t="shared" si="0"/>
        <v>0</v>
      </c>
      <c r="M47" s="2">
        <f>Sheet1!$D$2</f>
        <v>2.5099999999999996E-3</v>
      </c>
      <c r="N47" s="2">
        <f t="shared" si="1"/>
        <v>0</v>
      </c>
      <c r="O47" s="2">
        <f>Sheet1!$D$3</f>
        <v>1.4399999999999999E-3</v>
      </c>
      <c r="P47" s="2">
        <f t="shared" si="2"/>
        <v>0</v>
      </c>
      <c r="Q47" s="2">
        <f>Sheet1!$D$4</f>
        <v>4.6999999999999999E-4</v>
      </c>
      <c r="R47" s="2">
        <f t="shared" si="3"/>
        <v>0</v>
      </c>
    </row>
    <row r="48" spans="1:18" x14ac:dyDescent="0.3">
      <c r="A48" t="s">
        <v>89</v>
      </c>
      <c r="B48" t="s">
        <v>90</v>
      </c>
      <c r="C48">
        <v>23.633140999999998</v>
      </c>
      <c r="D48">
        <v>85.324431000000004</v>
      </c>
      <c r="E48" t="s">
        <v>35</v>
      </c>
      <c r="G48" t="s">
        <v>91</v>
      </c>
      <c r="H48" t="s">
        <v>29</v>
      </c>
      <c r="I48" t="s">
        <v>17</v>
      </c>
      <c r="K48" s="2">
        <f>Sheet1!$D$5</f>
        <v>3.81E-3</v>
      </c>
      <c r="L48" s="2">
        <f t="shared" si="0"/>
        <v>0</v>
      </c>
      <c r="M48" s="2">
        <f>Sheet1!$D$2</f>
        <v>2.5099999999999996E-3</v>
      </c>
      <c r="N48" s="2">
        <f t="shared" si="1"/>
        <v>0</v>
      </c>
      <c r="O48" s="2">
        <f>Sheet1!$D$3</f>
        <v>1.4399999999999999E-3</v>
      </c>
      <c r="P48" s="2">
        <f t="shared" si="2"/>
        <v>0</v>
      </c>
      <c r="Q48" s="2">
        <f>Sheet1!$D$4</f>
        <v>4.6999999999999999E-4</v>
      </c>
      <c r="R48" s="2">
        <f t="shared" si="3"/>
        <v>0</v>
      </c>
    </row>
    <row r="49" spans="1:18" x14ac:dyDescent="0.3">
      <c r="A49" t="s">
        <v>92</v>
      </c>
      <c r="B49" t="s">
        <v>90</v>
      </c>
      <c r="C49">
        <v>20.881239000000001</v>
      </c>
      <c r="D49">
        <v>84.991033999999999</v>
      </c>
      <c r="E49" t="s">
        <v>35</v>
      </c>
      <c r="G49" t="s">
        <v>67</v>
      </c>
      <c r="H49" t="s">
        <v>29</v>
      </c>
      <c r="I49" t="s">
        <v>17</v>
      </c>
      <c r="J49">
        <f>1000000*4.25</f>
        <v>4250000</v>
      </c>
      <c r="K49" s="2">
        <f>Sheet1!$D$5</f>
        <v>3.81E-3</v>
      </c>
      <c r="L49" s="2">
        <f t="shared" si="0"/>
        <v>16192.5</v>
      </c>
      <c r="M49" s="2">
        <f>Sheet1!$D$2</f>
        <v>2.5099999999999996E-3</v>
      </c>
      <c r="N49" s="2">
        <f t="shared" si="1"/>
        <v>10667.499999999998</v>
      </c>
      <c r="O49" s="2">
        <f>Sheet1!$D$3</f>
        <v>1.4399999999999999E-3</v>
      </c>
      <c r="P49" s="2">
        <f t="shared" si="2"/>
        <v>6119.9999999999991</v>
      </c>
      <c r="Q49" s="2">
        <f>Sheet1!$D$4</f>
        <v>4.6999999999999999E-4</v>
      </c>
      <c r="R49" s="2">
        <f t="shared" si="3"/>
        <v>1997.5</v>
      </c>
    </row>
    <row r="50" spans="1:18" x14ac:dyDescent="0.3">
      <c r="A50" t="s">
        <v>93</v>
      </c>
      <c r="B50" t="s">
        <v>90</v>
      </c>
      <c r="C50">
        <v>21.924401</v>
      </c>
      <c r="D50">
        <v>83.346693999999999</v>
      </c>
      <c r="E50" t="s">
        <v>35</v>
      </c>
      <c r="G50" t="s">
        <v>80</v>
      </c>
      <c r="H50" t="s">
        <v>29</v>
      </c>
      <c r="I50" t="s">
        <v>17</v>
      </c>
      <c r="J50">
        <f>1000000*3.05</f>
        <v>3050000</v>
      </c>
      <c r="K50" s="2">
        <f>Sheet1!$D$5</f>
        <v>3.81E-3</v>
      </c>
      <c r="L50" s="2">
        <f t="shared" si="0"/>
        <v>11620.5</v>
      </c>
      <c r="M50" s="2">
        <f>Sheet1!$D$2</f>
        <v>2.5099999999999996E-3</v>
      </c>
      <c r="N50" s="2">
        <f t="shared" si="1"/>
        <v>7655.4999999999991</v>
      </c>
      <c r="O50" s="2">
        <f>Sheet1!$D$3</f>
        <v>1.4399999999999999E-3</v>
      </c>
      <c r="P50" s="2">
        <f t="shared" si="2"/>
        <v>4392</v>
      </c>
      <c r="Q50" s="2">
        <f>Sheet1!$D$4</f>
        <v>4.6999999999999999E-4</v>
      </c>
      <c r="R50" s="2">
        <f t="shared" si="3"/>
        <v>1433.5</v>
      </c>
    </row>
    <row r="51" spans="1:18" x14ac:dyDescent="0.3">
      <c r="A51" t="s">
        <v>94</v>
      </c>
      <c r="B51" t="s">
        <v>90</v>
      </c>
      <c r="C51">
        <v>22.088175</v>
      </c>
      <c r="D51">
        <v>85.473877000000002</v>
      </c>
      <c r="G51" t="s">
        <v>67</v>
      </c>
      <c r="H51" t="s">
        <v>29</v>
      </c>
      <c r="I51" t="s">
        <v>17</v>
      </c>
      <c r="K51" s="2">
        <f>Sheet1!$D$5</f>
        <v>3.81E-3</v>
      </c>
      <c r="L51" s="2">
        <f t="shared" si="0"/>
        <v>0</v>
      </c>
      <c r="M51" s="2">
        <f>Sheet1!$D$2</f>
        <v>2.5099999999999996E-3</v>
      </c>
      <c r="N51" s="2">
        <f t="shared" si="1"/>
        <v>0</v>
      </c>
      <c r="O51" s="2">
        <f>Sheet1!$D$3</f>
        <v>1.4399999999999999E-3</v>
      </c>
      <c r="P51" s="2">
        <f t="shared" si="2"/>
        <v>0</v>
      </c>
      <c r="Q51" s="2">
        <f>Sheet1!$D$4</f>
        <v>4.6999999999999999E-4</v>
      </c>
      <c r="R51" s="2">
        <f t="shared" si="3"/>
        <v>0</v>
      </c>
    </row>
    <row r="52" spans="1:18" x14ac:dyDescent="0.3">
      <c r="A52" t="s">
        <v>95</v>
      </c>
      <c r="B52" t="s">
        <v>31</v>
      </c>
      <c r="C52">
        <v>22.976512</v>
      </c>
      <c r="D52">
        <v>88.461179999999999</v>
      </c>
      <c r="G52" t="s">
        <v>32</v>
      </c>
      <c r="H52" t="s">
        <v>29</v>
      </c>
      <c r="I52" t="s">
        <v>17</v>
      </c>
      <c r="K52" s="2">
        <f>Sheet1!$D$5</f>
        <v>3.81E-3</v>
      </c>
      <c r="L52" s="2">
        <f t="shared" si="0"/>
        <v>0</v>
      </c>
      <c r="M52" s="2">
        <f>Sheet1!$D$2</f>
        <v>2.5099999999999996E-3</v>
      </c>
      <c r="N52" s="2">
        <f t="shared" si="1"/>
        <v>0</v>
      </c>
      <c r="O52" s="2">
        <f>Sheet1!$D$3</f>
        <v>1.4399999999999999E-3</v>
      </c>
      <c r="P52" s="2">
        <f t="shared" si="2"/>
        <v>0</v>
      </c>
      <c r="Q52" s="2">
        <f>Sheet1!$D$4</f>
        <v>4.6999999999999999E-4</v>
      </c>
      <c r="R52" s="2">
        <f t="shared" si="3"/>
        <v>0</v>
      </c>
    </row>
    <row r="53" spans="1:18" x14ac:dyDescent="0.3">
      <c r="A53" t="s">
        <v>96</v>
      </c>
      <c r="B53" t="s">
        <v>97</v>
      </c>
      <c r="C53">
        <v>12.926373</v>
      </c>
      <c r="D53">
        <v>74.822771000000003</v>
      </c>
      <c r="E53" t="s">
        <v>98</v>
      </c>
      <c r="G53" t="s">
        <v>70</v>
      </c>
      <c r="H53" t="s">
        <v>29</v>
      </c>
      <c r="I53" t="s">
        <v>17</v>
      </c>
      <c r="J53">
        <f>1000000*3.5</f>
        <v>3500000</v>
      </c>
      <c r="K53" s="2">
        <f>Sheet1!$D$5</f>
        <v>3.81E-3</v>
      </c>
      <c r="L53" s="2">
        <f t="shared" si="0"/>
        <v>13335</v>
      </c>
      <c r="M53" s="2">
        <f>Sheet1!$D$2</f>
        <v>2.5099999999999996E-3</v>
      </c>
      <c r="N53" s="2">
        <f t="shared" si="1"/>
        <v>8784.9999999999982</v>
      </c>
      <c r="O53" s="2">
        <f>Sheet1!$D$3</f>
        <v>1.4399999999999999E-3</v>
      </c>
      <c r="P53" s="2">
        <f t="shared" si="2"/>
        <v>5040</v>
      </c>
      <c r="Q53" s="2">
        <f>Sheet1!$D$4</f>
        <v>4.6999999999999999E-4</v>
      </c>
      <c r="R53" s="2">
        <f t="shared" si="3"/>
        <v>1645</v>
      </c>
    </row>
    <row r="54" spans="1:18" x14ac:dyDescent="0.3">
      <c r="A54" t="s">
        <v>99</v>
      </c>
      <c r="B54" t="s">
        <v>100</v>
      </c>
      <c r="C54">
        <v>15.339055</v>
      </c>
      <c r="D54">
        <v>76.251695999999995</v>
      </c>
      <c r="E54" t="s">
        <v>35</v>
      </c>
      <c r="G54" t="s">
        <v>70</v>
      </c>
      <c r="H54" t="s">
        <v>29</v>
      </c>
      <c r="I54" t="s">
        <v>17</v>
      </c>
      <c r="K54" s="2">
        <f>Sheet1!$D$5</f>
        <v>3.81E-3</v>
      </c>
      <c r="L54" s="2">
        <f t="shared" si="0"/>
        <v>0</v>
      </c>
      <c r="M54" s="2">
        <f>Sheet1!$D$2</f>
        <v>2.5099999999999996E-3</v>
      </c>
      <c r="N54" s="2">
        <f t="shared" si="1"/>
        <v>0</v>
      </c>
      <c r="O54" s="2">
        <f>Sheet1!$D$3</f>
        <v>1.4399999999999999E-3</v>
      </c>
      <c r="P54" s="2">
        <f t="shared" si="2"/>
        <v>0</v>
      </c>
      <c r="Q54" s="2">
        <f>Sheet1!$D$4</f>
        <v>4.6999999999999999E-4</v>
      </c>
      <c r="R54" s="2">
        <f t="shared" si="3"/>
        <v>0</v>
      </c>
    </row>
    <row r="55" spans="1:18" x14ac:dyDescent="0.3">
      <c r="A55" t="s">
        <v>101</v>
      </c>
      <c r="B55" t="s">
        <v>102</v>
      </c>
      <c r="C55">
        <v>19.187676</v>
      </c>
      <c r="D55">
        <v>73.000811999999996</v>
      </c>
      <c r="G55" t="s">
        <v>63</v>
      </c>
      <c r="H55" t="s">
        <v>29</v>
      </c>
      <c r="I55" t="s">
        <v>17</v>
      </c>
      <c r="K55" s="2">
        <f>Sheet1!$D$5</f>
        <v>3.81E-3</v>
      </c>
      <c r="L55" s="2">
        <f t="shared" si="0"/>
        <v>0</v>
      </c>
      <c r="M55" s="2">
        <f>Sheet1!$D$2</f>
        <v>2.5099999999999996E-3</v>
      </c>
      <c r="N55" s="2">
        <f t="shared" si="1"/>
        <v>0</v>
      </c>
      <c r="O55" s="2">
        <f>Sheet1!$D$3</f>
        <v>1.4399999999999999E-3</v>
      </c>
      <c r="P55" s="2">
        <f t="shared" si="2"/>
        <v>0</v>
      </c>
      <c r="Q55" s="2">
        <f>Sheet1!$D$4</f>
        <v>4.6999999999999999E-4</v>
      </c>
      <c r="R55" s="2">
        <f t="shared" si="3"/>
        <v>0</v>
      </c>
    </row>
    <row r="56" spans="1:18" x14ac:dyDescent="0.3">
      <c r="A56" t="s">
        <v>103</v>
      </c>
      <c r="B56" t="s">
        <v>104</v>
      </c>
      <c r="C56">
        <v>19.093972000000001</v>
      </c>
      <c r="D56">
        <v>82.167761999999996</v>
      </c>
      <c r="E56" t="s">
        <v>35</v>
      </c>
      <c r="G56" t="s">
        <v>80</v>
      </c>
      <c r="H56" t="s">
        <v>29</v>
      </c>
      <c r="I56" t="s">
        <v>17</v>
      </c>
      <c r="K56" s="2">
        <f>Sheet1!$D$5</f>
        <v>3.81E-3</v>
      </c>
      <c r="L56" s="2">
        <f t="shared" si="0"/>
        <v>0</v>
      </c>
      <c r="M56" s="2">
        <f>Sheet1!$D$2</f>
        <v>2.5099999999999996E-3</v>
      </c>
      <c r="N56" s="2">
        <f t="shared" si="1"/>
        <v>0</v>
      </c>
      <c r="O56" s="2">
        <f>Sheet1!$D$3</f>
        <v>1.4399999999999999E-3</v>
      </c>
      <c r="P56" s="2">
        <f t="shared" si="2"/>
        <v>0</v>
      </c>
      <c r="Q56" s="2">
        <f>Sheet1!$D$4</f>
        <v>4.6999999999999999E-4</v>
      </c>
      <c r="R56" s="2">
        <f t="shared" si="3"/>
        <v>0</v>
      </c>
    </row>
    <row r="57" spans="1:18" x14ac:dyDescent="0.3">
      <c r="A57" t="s">
        <v>105</v>
      </c>
      <c r="B57" t="s">
        <v>106</v>
      </c>
      <c r="C57">
        <v>20.998640999999999</v>
      </c>
      <c r="D57">
        <v>86.019102000000004</v>
      </c>
      <c r="E57" t="s">
        <v>35</v>
      </c>
      <c r="G57" t="s">
        <v>67</v>
      </c>
      <c r="H57" t="s">
        <v>29</v>
      </c>
      <c r="I57" t="s">
        <v>17</v>
      </c>
      <c r="J57">
        <f>1000000*1.1</f>
        <v>1100000</v>
      </c>
      <c r="K57" s="2">
        <f>Sheet1!$D$5</f>
        <v>3.81E-3</v>
      </c>
      <c r="L57" s="2">
        <f t="shared" si="0"/>
        <v>4191</v>
      </c>
      <c r="M57" s="2">
        <f>Sheet1!$D$2</f>
        <v>2.5099999999999996E-3</v>
      </c>
      <c r="N57" s="2">
        <f t="shared" si="1"/>
        <v>2760.9999999999995</v>
      </c>
      <c r="O57" s="2">
        <f>Sheet1!$D$3</f>
        <v>1.4399999999999999E-3</v>
      </c>
      <c r="P57" s="2">
        <f t="shared" si="2"/>
        <v>1583.9999999999998</v>
      </c>
      <c r="Q57" s="2">
        <f>Sheet1!$D$4</f>
        <v>4.6999999999999999E-4</v>
      </c>
      <c r="R57" s="2">
        <f t="shared" si="3"/>
        <v>517</v>
      </c>
    </row>
    <row r="58" spans="1:18" x14ac:dyDescent="0.3">
      <c r="A58" t="s">
        <v>107</v>
      </c>
      <c r="B58" t="s">
        <v>34</v>
      </c>
      <c r="C58">
        <v>22.378354999999999</v>
      </c>
      <c r="D58">
        <v>87.281773000000001</v>
      </c>
      <c r="E58" t="s">
        <v>35</v>
      </c>
      <c r="G58" t="s">
        <v>32</v>
      </c>
      <c r="H58" t="s">
        <v>29</v>
      </c>
      <c r="I58" t="s">
        <v>17</v>
      </c>
      <c r="J58">
        <f>1000000*0.99</f>
        <v>990000</v>
      </c>
      <c r="K58" s="2">
        <f>Sheet1!$D$5</f>
        <v>3.81E-3</v>
      </c>
      <c r="L58" s="2">
        <f t="shared" si="0"/>
        <v>3771.9</v>
      </c>
      <c r="M58" s="2">
        <f>Sheet1!$D$2</f>
        <v>2.5099999999999996E-3</v>
      </c>
      <c r="N58" s="2">
        <f t="shared" si="1"/>
        <v>2484.8999999999996</v>
      </c>
      <c r="O58" s="2">
        <f>Sheet1!$D$3</f>
        <v>1.4399999999999999E-3</v>
      </c>
      <c r="P58" s="2">
        <f t="shared" si="2"/>
        <v>1425.6</v>
      </c>
      <c r="Q58" s="2">
        <f>Sheet1!$D$4</f>
        <v>4.6999999999999999E-4</v>
      </c>
      <c r="R58" s="2">
        <f t="shared" si="3"/>
        <v>465.3</v>
      </c>
    </row>
    <row r="59" spans="1:18" x14ac:dyDescent="0.3">
      <c r="A59" t="s">
        <v>108</v>
      </c>
      <c r="B59" t="s">
        <v>109</v>
      </c>
      <c r="C59">
        <v>18.388224999999998</v>
      </c>
      <c r="D59">
        <v>73.345483999999999</v>
      </c>
      <c r="G59" t="s">
        <v>63</v>
      </c>
      <c r="H59" t="s">
        <v>29</v>
      </c>
      <c r="I59" t="s">
        <v>17</v>
      </c>
      <c r="K59" s="2">
        <f>Sheet1!$D$5</f>
        <v>3.81E-3</v>
      </c>
      <c r="L59" s="2">
        <f t="shared" si="0"/>
        <v>0</v>
      </c>
      <c r="M59" s="2">
        <f>Sheet1!$D$2</f>
        <v>2.5099999999999996E-3</v>
      </c>
      <c r="N59" s="2">
        <f t="shared" si="1"/>
        <v>0</v>
      </c>
      <c r="O59" s="2">
        <f>Sheet1!$D$3</f>
        <v>1.4399999999999999E-3</v>
      </c>
      <c r="P59" s="2">
        <f t="shared" si="2"/>
        <v>0</v>
      </c>
      <c r="Q59" s="2">
        <f>Sheet1!$D$4</f>
        <v>4.6999999999999999E-4</v>
      </c>
      <c r="R59" s="2">
        <f t="shared" si="3"/>
        <v>0</v>
      </c>
    </row>
    <row r="60" spans="1:18" x14ac:dyDescent="0.3">
      <c r="A60" t="s">
        <v>110</v>
      </c>
      <c r="B60" t="s">
        <v>111</v>
      </c>
      <c r="C60">
        <v>17.614426000000002</v>
      </c>
      <c r="D60">
        <v>83.193190999999999</v>
      </c>
      <c r="E60" t="s">
        <v>35</v>
      </c>
      <c r="G60" t="s">
        <v>65</v>
      </c>
      <c r="H60" t="s">
        <v>29</v>
      </c>
      <c r="I60" t="s">
        <v>17</v>
      </c>
      <c r="K60" s="2">
        <f>Sheet1!$D$5</f>
        <v>3.81E-3</v>
      </c>
      <c r="L60" s="2">
        <f t="shared" si="0"/>
        <v>0</v>
      </c>
      <c r="M60" s="2">
        <f>Sheet1!$D$2</f>
        <v>2.5099999999999996E-3</v>
      </c>
      <c r="N60" s="2">
        <f t="shared" si="1"/>
        <v>0</v>
      </c>
      <c r="O60" s="2">
        <f>Sheet1!$D$3</f>
        <v>1.4399999999999999E-3</v>
      </c>
      <c r="P60" s="2">
        <f t="shared" si="2"/>
        <v>0</v>
      </c>
      <c r="Q60" s="2">
        <f>Sheet1!$D$4</f>
        <v>4.6999999999999999E-4</v>
      </c>
      <c r="R60" s="2">
        <f t="shared" si="3"/>
        <v>0</v>
      </c>
    </row>
    <row r="61" spans="1:18" x14ac:dyDescent="0.3">
      <c r="A61" t="s">
        <v>112</v>
      </c>
      <c r="B61" t="s">
        <v>113</v>
      </c>
      <c r="C61">
        <v>23.673348000000001</v>
      </c>
      <c r="D61">
        <v>86.101459000000006</v>
      </c>
      <c r="E61" t="s">
        <v>35</v>
      </c>
      <c r="G61" t="s">
        <v>91</v>
      </c>
      <c r="H61" t="s">
        <v>29</v>
      </c>
      <c r="I61" t="s">
        <v>17</v>
      </c>
      <c r="K61" s="2">
        <f>Sheet1!$D$5</f>
        <v>3.81E-3</v>
      </c>
      <c r="L61" s="2">
        <f t="shared" si="0"/>
        <v>0</v>
      </c>
      <c r="M61" s="2">
        <f>Sheet1!$D$2</f>
        <v>2.5099999999999996E-3</v>
      </c>
      <c r="N61" s="2">
        <f t="shared" si="1"/>
        <v>0</v>
      </c>
      <c r="O61" s="2">
        <f>Sheet1!$D$3</f>
        <v>1.4399999999999999E-3</v>
      </c>
      <c r="P61" s="2">
        <f t="shared" si="2"/>
        <v>0</v>
      </c>
      <c r="Q61" s="2">
        <f>Sheet1!$D$4</f>
        <v>4.6999999999999999E-4</v>
      </c>
      <c r="R61" s="2">
        <f t="shared" si="3"/>
        <v>0</v>
      </c>
    </row>
    <row r="62" spans="1:18" x14ac:dyDescent="0.3">
      <c r="A62" t="s">
        <v>114</v>
      </c>
      <c r="B62" t="s">
        <v>115</v>
      </c>
      <c r="C62">
        <v>23.665198</v>
      </c>
      <c r="D62">
        <v>86.917455000000004</v>
      </c>
      <c r="E62" t="s">
        <v>35</v>
      </c>
      <c r="G62" t="s">
        <v>32</v>
      </c>
      <c r="H62" t="s">
        <v>29</v>
      </c>
      <c r="I62" t="s">
        <v>17</v>
      </c>
      <c r="K62" s="2">
        <f>Sheet1!$D$5</f>
        <v>3.81E-3</v>
      </c>
      <c r="L62" s="2">
        <f t="shared" si="0"/>
        <v>0</v>
      </c>
      <c r="M62" s="2">
        <f>Sheet1!$D$2</f>
        <v>2.5099999999999996E-3</v>
      </c>
      <c r="N62" s="2">
        <f t="shared" si="1"/>
        <v>0</v>
      </c>
      <c r="O62" s="2">
        <f>Sheet1!$D$3</f>
        <v>1.4399999999999999E-3</v>
      </c>
      <c r="P62" s="2">
        <f t="shared" si="2"/>
        <v>0</v>
      </c>
      <c r="Q62" s="2">
        <f>Sheet1!$D$4</f>
        <v>4.6999999999999999E-4</v>
      </c>
      <c r="R62" s="2">
        <f t="shared" si="3"/>
        <v>0</v>
      </c>
    </row>
    <row r="63" spans="1:18" x14ac:dyDescent="0.3">
      <c r="A63" t="s">
        <v>116</v>
      </c>
      <c r="B63" t="s">
        <v>37</v>
      </c>
      <c r="C63">
        <v>23.546441999999999</v>
      </c>
      <c r="D63">
        <v>87.249551999999994</v>
      </c>
      <c r="E63" t="s">
        <v>35</v>
      </c>
      <c r="G63" t="s">
        <v>32</v>
      </c>
      <c r="H63" t="s">
        <v>29</v>
      </c>
      <c r="I63" t="s">
        <v>17</v>
      </c>
      <c r="K63" s="2">
        <f>Sheet1!$D$5</f>
        <v>3.81E-3</v>
      </c>
      <c r="L63" s="2">
        <f t="shared" si="0"/>
        <v>0</v>
      </c>
      <c r="M63" s="2">
        <f>Sheet1!$D$2</f>
        <v>2.5099999999999996E-3</v>
      </c>
      <c r="N63" s="2">
        <f t="shared" si="1"/>
        <v>0</v>
      </c>
      <c r="O63" s="2">
        <f>Sheet1!$D$3</f>
        <v>1.4399999999999999E-3</v>
      </c>
      <c r="P63" s="2">
        <f t="shared" si="2"/>
        <v>0</v>
      </c>
      <c r="Q63" s="2">
        <f>Sheet1!$D$4</f>
        <v>4.6999999999999999E-4</v>
      </c>
      <c r="R63" s="2">
        <f t="shared" si="3"/>
        <v>0</v>
      </c>
    </row>
    <row r="64" spans="1:18" x14ac:dyDescent="0.3">
      <c r="A64" t="s">
        <v>117</v>
      </c>
      <c r="B64" t="s">
        <v>118</v>
      </c>
      <c r="C64">
        <v>21.189193</v>
      </c>
      <c r="D64">
        <v>81.390631999999997</v>
      </c>
      <c r="E64" t="s">
        <v>35</v>
      </c>
      <c r="G64" t="s">
        <v>80</v>
      </c>
      <c r="H64" t="s">
        <v>29</v>
      </c>
      <c r="I64" t="s">
        <v>17</v>
      </c>
      <c r="K64" s="2">
        <f>Sheet1!$D$5</f>
        <v>3.81E-3</v>
      </c>
      <c r="L64" s="2">
        <f t="shared" si="0"/>
        <v>0</v>
      </c>
      <c r="M64" s="2">
        <f>Sheet1!$D$2</f>
        <v>2.5099999999999996E-3</v>
      </c>
      <c r="N64" s="2">
        <f t="shared" si="1"/>
        <v>0</v>
      </c>
      <c r="O64" s="2">
        <f>Sheet1!$D$3</f>
        <v>1.4399999999999999E-3</v>
      </c>
      <c r="P64" s="2">
        <f t="shared" si="2"/>
        <v>0</v>
      </c>
      <c r="Q64" s="2">
        <f>Sheet1!$D$4</f>
        <v>4.6999999999999999E-4</v>
      </c>
      <c r="R64" s="2">
        <f t="shared" si="3"/>
        <v>0</v>
      </c>
    </row>
    <row r="65" spans="1:18" x14ac:dyDescent="0.3">
      <c r="A65" t="s">
        <v>119</v>
      </c>
      <c r="B65" t="s">
        <v>120</v>
      </c>
      <c r="C65">
        <v>22.212810999999999</v>
      </c>
      <c r="D65">
        <v>84.866972000000004</v>
      </c>
      <c r="E65" t="s">
        <v>35</v>
      </c>
      <c r="G65" t="s">
        <v>67</v>
      </c>
      <c r="H65" t="s">
        <v>29</v>
      </c>
      <c r="I65" t="s">
        <v>17</v>
      </c>
      <c r="K65" s="2">
        <f>Sheet1!$D$5</f>
        <v>3.81E-3</v>
      </c>
      <c r="L65" s="2">
        <f t="shared" si="0"/>
        <v>0</v>
      </c>
      <c r="M65" s="2">
        <f>Sheet1!$D$2</f>
        <v>2.5099999999999996E-3</v>
      </c>
      <c r="N65" s="2">
        <f t="shared" si="1"/>
        <v>0</v>
      </c>
      <c r="O65" s="2">
        <f>Sheet1!$D$3</f>
        <v>1.4399999999999999E-3</v>
      </c>
      <c r="P65" s="2">
        <f t="shared" si="2"/>
        <v>0</v>
      </c>
      <c r="Q65" s="2">
        <f>Sheet1!$D$4</f>
        <v>4.6999999999999999E-4</v>
      </c>
      <c r="R65" s="2">
        <f t="shared" si="3"/>
        <v>0</v>
      </c>
    </row>
    <row r="66" spans="1:18" x14ac:dyDescent="0.3">
      <c r="A66" t="s">
        <v>121</v>
      </c>
      <c r="B66" t="s">
        <v>122</v>
      </c>
      <c r="C66">
        <v>11.660148</v>
      </c>
      <c r="D66">
        <v>78.026745000000005</v>
      </c>
      <c r="G66" t="s">
        <v>74</v>
      </c>
      <c r="H66" t="s">
        <v>29</v>
      </c>
      <c r="I66" t="s">
        <v>17</v>
      </c>
      <c r="K66" s="2">
        <f>Sheet1!$D$5</f>
        <v>3.81E-3</v>
      </c>
      <c r="L66" s="2">
        <f t="shared" si="0"/>
        <v>0</v>
      </c>
      <c r="M66" s="2">
        <f>Sheet1!$D$2</f>
        <v>2.5099999999999996E-3</v>
      </c>
      <c r="N66" s="2">
        <f t="shared" si="1"/>
        <v>0</v>
      </c>
      <c r="O66" s="2">
        <f>Sheet1!$D$3</f>
        <v>1.4399999999999999E-3</v>
      </c>
      <c r="P66" s="2">
        <f t="shared" si="2"/>
        <v>0</v>
      </c>
      <c r="Q66" s="2">
        <f>Sheet1!$D$4</f>
        <v>4.6999999999999999E-4</v>
      </c>
      <c r="R66" s="2">
        <f t="shared" si="3"/>
        <v>0</v>
      </c>
    </row>
    <row r="67" spans="1:18" x14ac:dyDescent="0.3">
      <c r="A67" t="s">
        <v>123</v>
      </c>
      <c r="B67" t="s">
        <v>37</v>
      </c>
      <c r="C67">
        <v>23.522881999999999</v>
      </c>
      <c r="D67">
        <v>87.275935000000004</v>
      </c>
      <c r="G67" t="s">
        <v>32</v>
      </c>
      <c r="H67" t="s">
        <v>29</v>
      </c>
      <c r="I67" t="s">
        <v>17</v>
      </c>
      <c r="K67" s="2">
        <f>Sheet1!$D$5</f>
        <v>3.81E-3</v>
      </c>
      <c r="L67" s="2">
        <f t="shared" ref="L67:L130" si="4">J67*K67</f>
        <v>0</v>
      </c>
      <c r="M67" s="2">
        <f>Sheet1!$D$2</f>
        <v>2.5099999999999996E-3</v>
      </c>
      <c r="N67" s="2">
        <f t="shared" ref="N67:N130" si="5">J67*M67</f>
        <v>0</v>
      </c>
      <c r="O67" s="2">
        <f>Sheet1!$D$3</f>
        <v>1.4399999999999999E-3</v>
      </c>
      <c r="P67" s="2">
        <f t="shared" ref="P67:P130" si="6">J67*O67</f>
        <v>0</v>
      </c>
      <c r="Q67" s="2">
        <f>Sheet1!$D$4</f>
        <v>4.6999999999999999E-4</v>
      </c>
      <c r="R67" s="2">
        <f t="shared" ref="R67:R130" si="7">Q67*J67</f>
        <v>0</v>
      </c>
    </row>
    <row r="68" spans="1:18" x14ac:dyDescent="0.3">
      <c r="A68" t="s">
        <v>124</v>
      </c>
      <c r="B68" t="s">
        <v>125</v>
      </c>
      <c r="C68">
        <v>19.963892999999999</v>
      </c>
      <c r="D68">
        <v>79.333217000000005</v>
      </c>
      <c r="G68" t="s">
        <v>63</v>
      </c>
      <c r="H68" t="s">
        <v>29</v>
      </c>
      <c r="I68" t="s">
        <v>17</v>
      </c>
      <c r="K68" s="2">
        <f>Sheet1!$D$5</f>
        <v>3.81E-3</v>
      </c>
      <c r="L68" s="2">
        <f t="shared" si="4"/>
        <v>0</v>
      </c>
      <c r="M68" s="2">
        <f>Sheet1!$D$2</f>
        <v>2.5099999999999996E-3</v>
      </c>
      <c r="N68" s="2">
        <f t="shared" si="5"/>
        <v>0</v>
      </c>
      <c r="O68" s="2">
        <f>Sheet1!$D$3</f>
        <v>1.4399999999999999E-3</v>
      </c>
      <c r="P68" s="2">
        <f t="shared" si="6"/>
        <v>0</v>
      </c>
      <c r="Q68" s="2">
        <f>Sheet1!$D$4</f>
        <v>4.6999999999999999E-4</v>
      </c>
      <c r="R68" s="2">
        <f t="shared" si="7"/>
        <v>0</v>
      </c>
    </row>
    <row r="69" spans="1:18" x14ac:dyDescent="0.3">
      <c r="A69" t="s">
        <v>126</v>
      </c>
      <c r="B69" t="s">
        <v>127</v>
      </c>
      <c r="C69">
        <v>13.831617</v>
      </c>
      <c r="D69">
        <v>75.702087000000006</v>
      </c>
      <c r="G69" t="s">
        <v>70</v>
      </c>
      <c r="H69" t="s">
        <v>29</v>
      </c>
      <c r="I69" t="s">
        <v>17</v>
      </c>
      <c r="K69" s="2">
        <f>Sheet1!$D$5</f>
        <v>3.81E-3</v>
      </c>
      <c r="L69" s="2">
        <f t="shared" si="4"/>
        <v>0</v>
      </c>
      <c r="M69" s="2">
        <f>Sheet1!$D$2</f>
        <v>2.5099999999999996E-3</v>
      </c>
      <c r="N69" s="2">
        <f t="shared" si="5"/>
        <v>0</v>
      </c>
      <c r="O69" s="2">
        <f>Sheet1!$D$3</f>
        <v>1.4399999999999999E-3</v>
      </c>
      <c r="P69" s="2">
        <f t="shared" si="6"/>
        <v>0</v>
      </c>
      <c r="Q69" s="2">
        <f>Sheet1!$D$4</f>
        <v>4.6999999999999999E-4</v>
      </c>
      <c r="R69" s="2">
        <f t="shared" si="7"/>
        <v>0</v>
      </c>
    </row>
    <row r="70" spans="1:18" x14ac:dyDescent="0.3">
      <c r="A70" t="s">
        <v>128</v>
      </c>
      <c r="B70" t="s">
        <v>129</v>
      </c>
      <c r="C70">
        <v>17.963265</v>
      </c>
      <c r="D70">
        <v>83.161135000000002</v>
      </c>
      <c r="E70" t="s">
        <v>19</v>
      </c>
      <c r="G70" t="s">
        <v>65</v>
      </c>
      <c r="H70" t="s">
        <v>29</v>
      </c>
      <c r="I70" t="s">
        <v>17</v>
      </c>
      <c r="J70">
        <f>1000000*0.25</f>
        <v>250000</v>
      </c>
      <c r="K70" s="2">
        <f>Sheet1!$D$5</f>
        <v>3.81E-3</v>
      </c>
      <c r="L70" s="2">
        <f t="shared" si="4"/>
        <v>952.5</v>
      </c>
      <c r="M70" s="2">
        <f>Sheet1!$D$2</f>
        <v>2.5099999999999996E-3</v>
      </c>
      <c r="N70" s="2">
        <f t="shared" si="5"/>
        <v>627.49999999999989</v>
      </c>
      <c r="O70" s="2">
        <f>Sheet1!$D$3</f>
        <v>1.4399999999999999E-3</v>
      </c>
      <c r="P70" s="2">
        <f t="shared" si="6"/>
        <v>359.99999999999994</v>
      </c>
      <c r="Q70" s="2">
        <f>Sheet1!$D$4</f>
        <v>4.6999999999999999E-4</v>
      </c>
      <c r="R70" s="2">
        <f t="shared" si="7"/>
        <v>117.5</v>
      </c>
    </row>
    <row r="71" spans="1:18" x14ac:dyDescent="0.3">
      <c r="A71" t="s">
        <v>130</v>
      </c>
      <c r="B71" t="s">
        <v>131</v>
      </c>
      <c r="C71">
        <v>21.232928999999999</v>
      </c>
      <c r="D71">
        <v>79.632397999999995</v>
      </c>
      <c r="E71" t="s">
        <v>35</v>
      </c>
      <c r="G71" t="s">
        <v>63</v>
      </c>
      <c r="H71" t="s">
        <v>29</v>
      </c>
      <c r="I71" t="s">
        <v>17</v>
      </c>
      <c r="J71">
        <f>1000000*0.5</f>
        <v>500000</v>
      </c>
      <c r="K71" s="2">
        <f>Sheet1!$D$5</f>
        <v>3.81E-3</v>
      </c>
      <c r="L71" s="2">
        <f t="shared" si="4"/>
        <v>1905</v>
      </c>
      <c r="M71" s="2">
        <f>Sheet1!$D$2</f>
        <v>2.5099999999999996E-3</v>
      </c>
      <c r="N71" s="2">
        <f t="shared" si="5"/>
        <v>1254.9999999999998</v>
      </c>
      <c r="O71" s="2">
        <f>Sheet1!$D$3</f>
        <v>1.4399999999999999E-3</v>
      </c>
      <c r="P71" s="2">
        <f t="shared" si="6"/>
        <v>719.99999999999989</v>
      </c>
      <c r="Q71" s="2">
        <f>Sheet1!$D$4</f>
        <v>4.6999999999999999E-4</v>
      </c>
      <c r="R71" s="2">
        <f t="shared" si="7"/>
        <v>235</v>
      </c>
    </row>
    <row r="72" spans="1:18" x14ac:dyDescent="0.3">
      <c r="A72" t="s">
        <v>132</v>
      </c>
      <c r="B72" t="s">
        <v>41</v>
      </c>
      <c r="C72">
        <v>20.969287999999999</v>
      </c>
      <c r="D72">
        <v>86.010814999999994</v>
      </c>
      <c r="E72" t="s">
        <v>35</v>
      </c>
      <c r="G72" t="s">
        <v>67</v>
      </c>
      <c r="H72" t="s">
        <v>29</v>
      </c>
      <c r="I72" t="s">
        <v>17</v>
      </c>
      <c r="K72" s="2">
        <f>Sheet1!$D$5</f>
        <v>3.81E-3</v>
      </c>
      <c r="L72" s="2">
        <f t="shared" si="4"/>
        <v>0</v>
      </c>
      <c r="M72" s="2">
        <f>Sheet1!$D$2</f>
        <v>2.5099999999999996E-3</v>
      </c>
      <c r="N72" s="2">
        <f t="shared" si="5"/>
        <v>0</v>
      </c>
      <c r="O72" s="2">
        <f>Sheet1!$D$3</f>
        <v>1.4399999999999999E-3</v>
      </c>
      <c r="P72" s="2">
        <f t="shared" si="6"/>
        <v>0</v>
      </c>
      <c r="Q72" s="2">
        <f>Sheet1!$D$4</f>
        <v>4.6999999999999999E-4</v>
      </c>
      <c r="R72" s="2">
        <f t="shared" si="7"/>
        <v>0</v>
      </c>
    </row>
    <row r="73" spans="1:18" x14ac:dyDescent="0.3">
      <c r="A73" t="s">
        <v>133</v>
      </c>
      <c r="B73" t="s">
        <v>41</v>
      </c>
      <c r="C73">
        <v>22.789035999999999</v>
      </c>
      <c r="D73">
        <v>86.201881999999998</v>
      </c>
      <c r="E73" t="s">
        <v>35</v>
      </c>
      <c r="G73" t="s">
        <v>91</v>
      </c>
      <c r="H73" t="s">
        <v>29</v>
      </c>
      <c r="I73" t="s">
        <v>17</v>
      </c>
      <c r="K73" s="2">
        <f>Sheet1!$D$5</f>
        <v>3.81E-3</v>
      </c>
      <c r="L73" s="2">
        <f t="shared" si="4"/>
        <v>0</v>
      </c>
      <c r="M73" s="2">
        <f>Sheet1!$D$2</f>
        <v>2.5099999999999996E-3</v>
      </c>
      <c r="N73" s="2">
        <f t="shared" si="5"/>
        <v>0</v>
      </c>
      <c r="O73" s="2">
        <f>Sheet1!$D$3</f>
        <v>1.4399999999999999E-3</v>
      </c>
      <c r="P73" s="2">
        <f t="shared" si="6"/>
        <v>0</v>
      </c>
      <c r="Q73" s="2">
        <f>Sheet1!$D$4</f>
        <v>4.6999999999999999E-4</v>
      </c>
      <c r="R73" s="2">
        <f t="shared" si="7"/>
        <v>0</v>
      </c>
    </row>
    <row r="74" spans="1:18" x14ac:dyDescent="0.3">
      <c r="A74" t="s">
        <v>134</v>
      </c>
      <c r="B74" t="s">
        <v>135</v>
      </c>
      <c r="C74">
        <v>22.385611000000001</v>
      </c>
      <c r="D74">
        <v>87.287178999999995</v>
      </c>
      <c r="E74" t="s">
        <v>35</v>
      </c>
      <c r="G74" t="s">
        <v>32</v>
      </c>
      <c r="H74" t="s">
        <v>29</v>
      </c>
      <c r="I74" t="s">
        <v>17</v>
      </c>
      <c r="K74" s="2">
        <f>Sheet1!$D$5</f>
        <v>3.81E-3</v>
      </c>
      <c r="L74" s="2">
        <f t="shared" si="4"/>
        <v>0</v>
      </c>
      <c r="M74" s="2">
        <f>Sheet1!$D$2</f>
        <v>2.5099999999999996E-3</v>
      </c>
      <c r="N74" s="2">
        <f t="shared" si="5"/>
        <v>0</v>
      </c>
      <c r="O74" s="2">
        <f>Sheet1!$D$3</f>
        <v>1.4399999999999999E-3</v>
      </c>
      <c r="P74" s="2">
        <f t="shared" si="6"/>
        <v>0</v>
      </c>
      <c r="Q74" s="2">
        <f>Sheet1!$D$4</f>
        <v>4.6999999999999999E-4</v>
      </c>
      <c r="R74" s="2">
        <f t="shared" si="7"/>
        <v>0</v>
      </c>
    </row>
    <row r="75" spans="1:18" x14ac:dyDescent="0.3">
      <c r="A75" t="s">
        <v>136</v>
      </c>
      <c r="B75" t="s">
        <v>137</v>
      </c>
      <c r="C75">
        <v>20.793690999999999</v>
      </c>
      <c r="D75">
        <v>85.260537999999997</v>
      </c>
      <c r="E75" t="s">
        <v>35</v>
      </c>
      <c r="G75" t="s">
        <v>67</v>
      </c>
      <c r="H75" t="s">
        <v>29</v>
      </c>
      <c r="I75" t="s">
        <v>17</v>
      </c>
      <c r="K75" s="2">
        <f>Sheet1!$D$5</f>
        <v>3.81E-3</v>
      </c>
      <c r="L75" s="2">
        <f t="shared" si="4"/>
        <v>0</v>
      </c>
      <c r="M75" s="2">
        <f>Sheet1!$D$2</f>
        <v>2.5099999999999996E-3</v>
      </c>
      <c r="N75" s="2">
        <f t="shared" si="5"/>
        <v>0</v>
      </c>
      <c r="O75" s="2">
        <f>Sheet1!$D$3</f>
        <v>1.4399999999999999E-3</v>
      </c>
      <c r="P75" s="2">
        <f t="shared" si="6"/>
        <v>0</v>
      </c>
      <c r="Q75" s="2">
        <f>Sheet1!$D$4</f>
        <v>4.6999999999999999E-4</v>
      </c>
      <c r="R75" s="2">
        <f t="shared" si="7"/>
        <v>0</v>
      </c>
    </row>
    <row r="76" spans="1:18" x14ac:dyDescent="0.3">
      <c r="A76" t="s">
        <v>138</v>
      </c>
      <c r="B76" t="s">
        <v>139</v>
      </c>
      <c r="C76">
        <v>22.814903999999999</v>
      </c>
      <c r="D76">
        <v>86.236176999999998</v>
      </c>
      <c r="G76" t="s">
        <v>91</v>
      </c>
      <c r="H76" t="s">
        <v>29</v>
      </c>
      <c r="I76" t="s">
        <v>17</v>
      </c>
      <c r="K76" s="2">
        <f>Sheet1!$D$5</f>
        <v>3.81E-3</v>
      </c>
      <c r="L76" s="2">
        <f t="shared" si="4"/>
        <v>0</v>
      </c>
      <c r="M76" s="2">
        <f>Sheet1!$D$2</f>
        <v>2.5099999999999996E-3</v>
      </c>
      <c r="N76" s="2">
        <f t="shared" si="5"/>
        <v>0</v>
      </c>
      <c r="O76" s="2">
        <f>Sheet1!$D$3</f>
        <v>1.4399999999999999E-3</v>
      </c>
      <c r="P76" s="2">
        <f t="shared" si="6"/>
        <v>0</v>
      </c>
      <c r="Q76" s="2">
        <f>Sheet1!$D$4</f>
        <v>4.6999999999999999E-4</v>
      </c>
      <c r="R76" s="2">
        <f t="shared" si="7"/>
        <v>0</v>
      </c>
    </row>
    <row r="77" spans="1:18" x14ac:dyDescent="0.3">
      <c r="A77" t="s">
        <v>140</v>
      </c>
      <c r="B77" t="s">
        <v>141</v>
      </c>
      <c r="C77">
        <v>22.054641</v>
      </c>
      <c r="D77">
        <v>85.465841999999995</v>
      </c>
      <c r="G77" t="s">
        <v>67</v>
      </c>
      <c r="H77" t="s">
        <v>29</v>
      </c>
      <c r="I77" t="s">
        <v>17</v>
      </c>
      <c r="K77" s="2">
        <f>Sheet1!$D$5</f>
        <v>3.81E-3</v>
      </c>
      <c r="L77" s="2">
        <f t="shared" si="4"/>
        <v>0</v>
      </c>
      <c r="M77" s="2">
        <f>Sheet1!$D$2</f>
        <v>2.5099999999999996E-3</v>
      </c>
      <c r="N77" s="2">
        <f t="shared" si="5"/>
        <v>0</v>
      </c>
      <c r="O77" s="2">
        <f>Sheet1!$D$3</f>
        <v>1.4399999999999999E-3</v>
      </c>
      <c r="P77" s="2">
        <f t="shared" si="6"/>
        <v>0</v>
      </c>
      <c r="Q77" s="2">
        <f>Sheet1!$D$4</f>
        <v>4.6999999999999999E-4</v>
      </c>
      <c r="R77" s="2">
        <f t="shared" si="7"/>
        <v>0</v>
      </c>
    </row>
    <row r="78" spans="1:18" x14ac:dyDescent="0.3">
      <c r="A78" t="s">
        <v>142</v>
      </c>
      <c r="B78" t="s">
        <v>41</v>
      </c>
      <c r="C78">
        <v>19.794754000000001</v>
      </c>
      <c r="D78">
        <v>72.733897999999996</v>
      </c>
      <c r="G78" t="s">
        <v>63</v>
      </c>
      <c r="H78" t="s">
        <v>29</v>
      </c>
      <c r="I78" t="s">
        <v>17</v>
      </c>
      <c r="J78">
        <f>1000000*0.42</f>
        <v>420000</v>
      </c>
      <c r="K78" s="2">
        <f>Sheet1!$D$5</f>
        <v>3.81E-3</v>
      </c>
      <c r="L78" s="2">
        <f t="shared" si="4"/>
        <v>1600.2</v>
      </c>
      <c r="M78" s="2">
        <f>Sheet1!$D$2</f>
        <v>2.5099999999999996E-3</v>
      </c>
      <c r="N78" s="2">
        <f t="shared" si="5"/>
        <v>1054.1999999999998</v>
      </c>
      <c r="O78" s="2">
        <f>Sheet1!$D$3</f>
        <v>1.4399999999999999E-3</v>
      </c>
      <c r="P78" s="2">
        <f t="shared" si="6"/>
        <v>604.79999999999995</v>
      </c>
      <c r="Q78" s="2">
        <f>Sheet1!$D$4</f>
        <v>4.6999999999999999E-4</v>
      </c>
      <c r="R78" s="2">
        <f t="shared" si="7"/>
        <v>197.4</v>
      </c>
    </row>
    <row r="79" spans="1:18" x14ac:dyDescent="0.3">
      <c r="A79" t="s">
        <v>143</v>
      </c>
      <c r="B79" t="s">
        <v>137</v>
      </c>
      <c r="C79">
        <v>18.800830000000001</v>
      </c>
      <c r="D79">
        <v>73.289828999999997</v>
      </c>
      <c r="G79" t="s">
        <v>63</v>
      </c>
      <c r="H79" t="s">
        <v>29</v>
      </c>
      <c r="I79" t="s">
        <v>17</v>
      </c>
      <c r="K79" s="2">
        <f>Sheet1!$D$5</f>
        <v>3.81E-3</v>
      </c>
      <c r="L79" s="2">
        <f t="shared" si="4"/>
        <v>0</v>
      </c>
      <c r="M79" s="2">
        <f>Sheet1!$D$2</f>
        <v>2.5099999999999996E-3</v>
      </c>
      <c r="N79" s="2">
        <f t="shared" si="5"/>
        <v>0</v>
      </c>
      <c r="O79" s="2">
        <f>Sheet1!$D$3</f>
        <v>1.4399999999999999E-3</v>
      </c>
      <c r="P79" s="2">
        <f t="shared" si="6"/>
        <v>0</v>
      </c>
      <c r="Q79" s="2">
        <f>Sheet1!$D$4</f>
        <v>4.6999999999999999E-4</v>
      </c>
      <c r="R79" s="2">
        <f t="shared" si="7"/>
        <v>0</v>
      </c>
    </row>
    <row r="80" spans="1:18" x14ac:dyDescent="0.3">
      <c r="A80" t="s">
        <v>144</v>
      </c>
      <c r="B80" t="s">
        <v>137</v>
      </c>
      <c r="C80">
        <v>28.648921000000001</v>
      </c>
      <c r="D80">
        <v>77.331907000000001</v>
      </c>
      <c r="G80" t="s">
        <v>43</v>
      </c>
      <c r="H80" t="s">
        <v>29</v>
      </c>
      <c r="I80" t="s">
        <v>17</v>
      </c>
      <c r="K80" s="2">
        <f>Sheet1!$D$5</f>
        <v>3.81E-3</v>
      </c>
      <c r="L80" s="2">
        <f t="shared" si="4"/>
        <v>0</v>
      </c>
      <c r="M80" s="2">
        <f>Sheet1!$D$2</f>
        <v>2.5099999999999996E-3</v>
      </c>
      <c r="N80" s="2">
        <f t="shared" si="5"/>
        <v>0</v>
      </c>
      <c r="O80" s="2">
        <f>Sheet1!$D$3</f>
        <v>1.4399999999999999E-3</v>
      </c>
      <c r="P80" s="2">
        <f t="shared" si="6"/>
        <v>0</v>
      </c>
      <c r="Q80" s="2">
        <f>Sheet1!$D$4</f>
        <v>4.6999999999999999E-4</v>
      </c>
      <c r="R80" s="2">
        <f t="shared" si="7"/>
        <v>0</v>
      </c>
    </row>
    <row r="81" spans="1:18" x14ac:dyDescent="0.3">
      <c r="A81" t="s">
        <v>145</v>
      </c>
      <c r="B81" t="s">
        <v>146</v>
      </c>
      <c r="C81">
        <v>20.473334000000001</v>
      </c>
      <c r="D81">
        <v>85.750130999999996</v>
      </c>
      <c r="G81" t="s">
        <v>67</v>
      </c>
      <c r="H81" t="s">
        <v>29</v>
      </c>
      <c r="I81" t="s">
        <v>17</v>
      </c>
      <c r="K81" s="2">
        <f>Sheet1!$D$5</f>
        <v>3.81E-3</v>
      </c>
      <c r="L81" s="2">
        <f t="shared" si="4"/>
        <v>0</v>
      </c>
      <c r="M81" s="2">
        <f>Sheet1!$D$2</f>
        <v>2.5099999999999996E-3</v>
      </c>
      <c r="N81" s="2">
        <f t="shared" si="5"/>
        <v>0</v>
      </c>
      <c r="O81" s="2">
        <f>Sheet1!$D$3</f>
        <v>1.4399999999999999E-3</v>
      </c>
      <c r="P81" s="2">
        <f t="shared" si="6"/>
        <v>0</v>
      </c>
      <c r="Q81" s="2">
        <f>Sheet1!$D$4</f>
        <v>4.6999999999999999E-4</v>
      </c>
      <c r="R81" s="2">
        <f t="shared" si="7"/>
        <v>0</v>
      </c>
    </row>
    <row r="82" spans="1:18" x14ac:dyDescent="0.3">
      <c r="A82" t="s">
        <v>147</v>
      </c>
      <c r="B82" t="s">
        <v>137</v>
      </c>
      <c r="C82">
        <v>12.761075999999999</v>
      </c>
      <c r="D82">
        <v>77.801267999999993</v>
      </c>
      <c r="G82" t="s">
        <v>74</v>
      </c>
      <c r="H82" t="s">
        <v>29</v>
      </c>
      <c r="I82" t="s">
        <v>17</v>
      </c>
      <c r="K82" s="2">
        <f>Sheet1!$D$5</f>
        <v>3.81E-3</v>
      </c>
      <c r="L82" s="2">
        <f t="shared" si="4"/>
        <v>0</v>
      </c>
      <c r="M82" s="2">
        <f>Sheet1!$D$2</f>
        <v>2.5099999999999996E-3</v>
      </c>
      <c r="N82" s="2">
        <f t="shared" si="5"/>
        <v>0</v>
      </c>
      <c r="O82" s="2">
        <f>Sheet1!$D$3</f>
        <v>1.4399999999999999E-3</v>
      </c>
      <c r="P82" s="2">
        <f t="shared" si="6"/>
        <v>0</v>
      </c>
      <c r="Q82" s="2">
        <f>Sheet1!$D$4</f>
        <v>4.6999999999999999E-4</v>
      </c>
      <c r="R82" s="2">
        <f t="shared" si="7"/>
        <v>0</v>
      </c>
    </row>
    <row r="83" spans="1:18" x14ac:dyDescent="0.3">
      <c r="A83" t="s">
        <v>148</v>
      </c>
      <c r="B83" t="s">
        <v>149</v>
      </c>
      <c r="C83">
        <v>19.823169</v>
      </c>
      <c r="D83">
        <v>73.667178000000007</v>
      </c>
      <c r="G83" t="s">
        <v>63</v>
      </c>
      <c r="H83" t="s">
        <v>29</v>
      </c>
      <c r="I83" t="s">
        <v>17</v>
      </c>
      <c r="K83" s="2">
        <f>Sheet1!$D$5</f>
        <v>3.81E-3</v>
      </c>
      <c r="L83" s="2">
        <f t="shared" si="4"/>
        <v>0</v>
      </c>
      <c r="M83" s="2">
        <f>Sheet1!$D$2</f>
        <v>2.5099999999999996E-3</v>
      </c>
      <c r="N83" s="2">
        <f t="shared" si="5"/>
        <v>0</v>
      </c>
      <c r="O83" s="2">
        <f>Sheet1!$D$3</f>
        <v>1.4399999999999999E-3</v>
      </c>
      <c r="P83" s="2">
        <f t="shared" si="6"/>
        <v>0</v>
      </c>
      <c r="Q83" s="2">
        <f>Sheet1!$D$4</f>
        <v>4.6999999999999999E-4</v>
      </c>
      <c r="R83" s="2">
        <f t="shared" si="7"/>
        <v>0</v>
      </c>
    </row>
    <row r="84" spans="1:18" x14ac:dyDescent="0.3">
      <c r="A84" t="s">
        <v>150</v>
      </c>
      <c r="B84" t="s">
        <v>45</v>
      </c>
      <c r="C84">
        <v>23.370283000000001</v>
      </c>
      <c r="D84">
        <v>85.427581000000004</v>
      </c>
      <c r="G84" t="s">
        <v>91</v>
      </c>
      <c r="H84" t="s">
        <v>29</v>
      </c>
      <c r="I84" t="s">
        <v>17</v>
      </c>
      <c r="K84" s="2">
        <f>Sheet1!$D$5</f>
        <v>3.81E-3</v>
      </c>
      <c r="L84" s="2">
        <f t="shared" si="4"/>
        <v>0</v>
      </c>
      <c r="M84" s="2">
        <f>Sheet1!$D$2</f>
        <v>2.5099999999999996E-3</v>
      </c>
      <c r="N84" s="2">
        <f t="shared" si="5"/>
        <v>0</v>
      </c>
      <c r="O84" s="2">
        <f>Sheet1!$D$3</f>
        <v>1.4399999999999999E-3</v>
      </c>
      <c r="P84" s="2">
        <f t="shared" si="6"/>
        <v>0</v>
      </c>
      <c r="Q84" s="2">
        <f>Sheet1!$D$4</f>
        <v>4.6999999999999999E-4</v>
      </c>
      <c r="R84" s="2">
        <f t="shared" si="7"/>
        <v>0</v>
      </c>
    </row>
    <row r="85" spans="1:18" x14ac:dyDescent="0.3">
      <c r="A85" t="s">
        <v>151</v>
      </c>
      <c r="B85" t="s">
        <v>45</v>
      </c>
      <c r="C85">
        <v>31.583477999999999</v>
      </c>
      <c r="D85">
        <v>75.950789999999998</v>
      </c>
      <c r="G85" t="s">
        <v>46</v>
      </c>
      <c r="H85" t="s">
        <v>29</v>
      </c>
      <c r="I85" t="s">
        <v>17</v>
      </c>
      <c r="K85" s="2">
        <f>Sheet1!$D$5</f>
        <v>3.81E-3</v>
      </c>
      <c r="L85" s="2">
        <f t="shared" si="4"/>
        <v>0</v>
      </c>
      <c r="M85" s="2">
        <f>Sheet1!$D$2</f>
        <v>2.5099999999999996E-3</v>
      </c>
      <c r="N85" s="2">
        <f t="shared" si="5"/>
        <v>0</v>
      </c>
      <c r="O85" s="2">
        <f>Sheet1!$D$3</f>
        <v>1.4399999999999999E-3</v>
      </c>
      <c r="P85" s="2">
        <f t="shared" si="6"/>
        <v>0</v>
      </c>
      <c r="Q85" s="2">
        <f>Sheet1!$D$4</f>
        <v>4.6999999999999999E-4</v>
      </c>
      <c r="R85" s="2">
        <f t="shared" si="7"/>
        <v>0</v>
      </c>
    </row>
    <row r="86" spans="1:18" x14ac:dyDescent="0.3">
      <c r="A86" t="s">
        <v>152</v>
      </c>
      <c r="B86" t="s">
        <v>153</v>
      </c>
      <c r="C86">
        <v>20.944023999999999</v>
      </c>
      <c r="D86">
        <v>86.060744</v>
      </c>
      <c r="E86" t="s">
        <v>154</v>
      </c>
      <c r="G86" t="s">
        <v>67</v>
      </c>
      <c r="H86" t="s">
        <v>29</v>
      </c>
      <c r="I86" t="s">
        <v>17</v>
      </c>
      <c r="J86">
        <f>1000000*0.725</f>
        <v>725000</v>
      </c>
      <c r="K86" s="2">
        <f>Sheet1!$D$5</f>
        <v>3.81E-3</v>
      </c>
      <c r="L86" s="2">
        <f t="shared" si="4"/>
        <v>2762.25</v>
      </c>
      <c r="M86" s="2">
        <f>Sheet1!$D$2</f>
        <v>2.5099999999999996E-3</v>
      </c>
      <c r="N86" s="2">
        <f t="shared" si="5"/>
        <v>1819.7499999999998</v>
      </c>
      <c r="O86" s="2">
        <f>Sheet1!$D$3</f>
        <v>1.4399999999999999E-3</v>
      </c>
      <c r="P86" s="2">
        <f t="shared" si="6"/>
        <v>1044</v>
      </c>
      <c r="Q86" s="2">
        <f>Sheet1!$D$4</f>
        <v>4.6999999999999999E-4</v>
      </c>
      <c r="R86" s="2">
        <f t="shared" si="7"/>
        <v>340.75</v>
      </c>
    </row>
    <row r="87" spans="1:18" x14ac:dyDescent="0.3">
      <c r="A87" t="s">
        <v>155</v>
      </c>
      <c r="C87">
        <v>18.524061</v>
      </c>
      <c r="D87">
        <v>73.913357000000005</v>
      </c>
      <c r="G87" t="s">
        <v>63</v>
      </c>
      <c r="H87" t="s">
        <v>29</v>
      </c>
      <c r="I87" t="s">
        <v>17</v>
      </c>
      <c r="K87" s="2">
        <f>Sheet1!$D$5</f>
        <v>3.81E-3</v>
      </c>
      <c r="L87" s="2">
        <f t="shared" si="4"/>
        <v>0</v>
      </c>
      <c r="M87" s="2">
        <f>Sheet1!$D$2</f>
        <v>2.5099999999999996E-3</v>
      </c>
      <c r="N87" s="2">
        <f t="shared" si="5"/>
        <v>0</v>
      </c>
      <c r="O87" s="2">
        <f>Sheet1!$D$3</f>
        <v>1.4399999999999999E-3</v>
      </c>
      <c r="P87" s="2">
        <f t="shared" si="6"/>
        <v>0</v>
      </c>
      <c r="Q87" s="2">
        <f>Sheet1!$D$4</f>
        <v>4.6999999999999999E-4</v>
      </c>
      <c r="R87" s="2">
        <f t="shared" si="7"/>
        <v>0</v>
      </c>
    </row>
    <row r="88" spans="1:18" x14ac:dyDescent="0.3">
      <c r="A88" t="s">
        <v>156</v>
      </c>
      <c r="C88">
        <v>18.530853</v>
      </c>
      <c r="D88">
        <v>72.947091</v>
      </c>
      <c r="G88" t="s">
        <v>63</v>
      </c>
      <c r="H88" t="s">
        <v>29</v>
      </c>
      <c r="I88" t="s">
        <v>17</v>
      </c>
      <c r="K88" s="2">
        <f>Sheet1!$D$5</f>
        <v>3.81E-3</v>
      </c>
      <c r="L88" s="2">
        <f t="shared" si="4"/>
        <v>0</v>
      </c>
      <c r="M88" s="2">
        <f>Sheet1!$D$2</f>
        <v>2.5099999999999996E-3</v>
      </c>
      <c r="N88" s="2">
        <f t="shared" si="5"/>
        <v>0</v>
      </c>
      <c r="O88" s="2">
        <f>Sheet1!$D$3</f>
        <v>1.4399999999999999E-3</v>
      </c>
      <c r="P88" s="2">
        <f t="shared" si="6"/>
        <v>0</v>
      </c>
      <c r="Q88" s="2">
        <f>Sheet1!$D$4</f>
        <v>4.6999999999999999E-4</v>
      </c>
      <c r="R88" s="2">
        <f t="shared" si="7"/>
        <v>0</v>
      </c>
    </row>
    <row r="89" spans="1:18" x14ac:dyDescent="0.3">
      <c r="A89" t="s">
        <v>157</v>
      </c>
      <c r="C89">
        <v>26.581306000000001</v>
      </c>
      <c r="D89">
        <v>80.560423</v>
      </c>
      <c r="G89" t="s">
        <v>43</v>
      </c>
      <c r="H89" t="s">
        <v>29</v>
      </c>
      <c r="I89" t="s">
        <v>17</v>
      </c>
      <c r="K89" s="2">
        <f>Sheet1!$D$5</f>
        <v>3.81E-3</v>
      </c>
      <c r="L89" s="2">
        <f t="shared" si="4"/>
        <v>0</v>
      </c>
      <c r="M89" s="2">
        <f>Sheet1!$D$2</f>
        <v>2.5099999999999996E-3</v>
      </c>
      <c r="N89" s="2">
        <f t="shared" si="5"/>
        <v>0</v>
      </c>
      <c r="O89" s="2">
        <f>Sheet1!$D$3</f>
        <v>1.4399999999999999E-3</v>
      </c>
      <c r="P89" s="2">
        <f t="shared" si="6"/>
        <v>0</v>
      </c>
      <c r="Q89" s="2">
        <f>Sheet1!$D$4</f>
        <v>4.6999999999999999E-4</v>
      </c>
      <c r="R89" s="2">
        <f t="shared" si="7"/>
        <v>0</v>
      </c>
    </row>
    <row r="90" spans="1:18" x14ac:dyDescent="0.3">
      <c r="A90" t="s">
        <v>158</v>
      </c>
      <c r="C90">
        <v>18.780093000000001</v>
      </c>
      <c r="D90">
        <v>73.260734999999997</v>
      </c>
      <c r="G90" t="s">
        <v>63</v>
      </c>
      <c r="H90" t="s">
        <v>29</v>
      </c>
      <c r="I90" t="s">
        <v>17</v>
      </c>
      <c r="K90" s="2">
        <f>Sheet1!$D$5</f>
        <v>3.81E-3</v>
      </c>
      <c r="L90" s="2">
        <f t="shared" si="4"/>
        <v>0</v>
      </c>
      <c r="M90" s="2">
        <f>Sheet1!$D$2</f>
        <v>2.5099999999999996E-3</v>
      </c>
      <c r="N90" s="2">
        <f t="shared" si="5"/>
        <v>0</v>
      </c>
      <c r="O90" s="2">
        <f>Sheet1!$D$3</f>
        <v>1.4399999999999999E-3</v>
      </c>
      <c r="P90" s="2">
        <f t="shared" si="6"/>
        <v>0</v>
      </c>
      <c r="Q90" s="2">
        <f>Sheet1!$D$4</f>
        <v>4.6999999999999999E-4</v>
      </c>
      <c r="R90" s="2">
        <f t="shared" si="7"/>
        <v>0</v>
      </c>
    </row>
    <row r="91" spans="1:18" x14ac:dyDescent="0.3">
      <c r="A91" t="s">
        <v>159</v>
      </c>
      <c r="C91">
        <v>26.561084000000001</v>
      </c>
      <c r="D91">
        <v>80.532490999999993</v>
      </c>
      <c r="G91" t="s">
        <v>43</v>
      </c>
      <c r="H91" t="s">
        <v>29</v>
      </c>
      <c r="I91" t="s">
        <v>17</v>
      </c>
      <c r="K91" s="2">
        <f>Sheet1!$D$5</f>
        <v>3.81E-3</v>
      </c>
      <c r="L91" s="2">
        <f t="shared" si="4"/>
        <v>0</v>
      </c>
      <c r="M91" s="2">
        <f>Sheet1!$D$2</f>
        <v>2.5099999999999996E-3</v>
      </c>
      <c r="N91" s="2">
        <f t="shared" si="5"/>
        <v>0</v>
      </c>
      <c r="O91" s="2">
        <f>Sheet1!$D$3</f>
        <v>1.4399999999999999E-3</v>
      </c>
      <c r="P91" s="2">
        <f t="shared" si="6"/>
        <v>0</v>
      </c>
      <c r="Q91" s="2">
        <f>Sheet1!$D$4</f>
        <v>4.6999999999999999E-4</v>
      </c>
      <c r="R91" s="2">
        <f t="shared" si="7"/>
        <v>0</v>
      </c>
    </row>
    <row r="92" spans="1:18" x14ac:dyDescent="0.3">
      <c r="A92" t="s">
        <v>160</v>
      </c>
      <c r="C92">
        <v>23.776212999999998</v>
      </c>
      <c r="D92">
        <v>86.866906</v>
      </c>
      <c r="G92" t="s">
        <v>32</v>
      </c>
      <c r="H92" t="s">
        <v>29</v>
      </c>
      <c r="I92" t="s">
        <v>17</v>
      </c>
      <c r="K92" s="2">
        <f>Sheet1!$D$5</f>
        <v>3.81E-3</v>
      </c>
      <c r="L92" s="2">
        <f t="shared" si="4"/>
        <v>0</v>
      </c>
      <c r="M92" s="2">
        <f>Sheet1!$D$2</f>
        <v>2.5099999999999996E-3</v>
      </c>
      <c r="N92" s="2">
        <f t="shared" si="5"/>
        <v>0</v>
      </c>
      <c r="O92" s="2">
        <f>Sheet1!$D$3</f>
        <v>1.4399999999999999E-3</v>
      </c>
      <c r="P92" s="2">
        <f t="shared" si="6"/>
        <v>0</v>
      </c>
      <c r="Q92" s="2">
        <f>Sheet1!$D$4</f>
        <v>4.6999999999999999E-4</v>
      </c>
      <c r="R92" s="2">
        <f t="shared" si="7"/>
        <v>0</v>
      </c>
    </row>
    <row r="93" spans="1:18" x14ac:dyDescent="0.3">
      <c r="A93" t="s">
        <v>161</v>
      </c>
      <c r="C93">
        <v>23.262678999999999</v>
      </c>
      <c r="D93">
        <v>70.251109</v>
      </c>
      <c r="G93" t="s">
        <v>61</v>
      </c>
      <c r="H93" t="s">
        <v>29</v>
      </c>
      <c r="I93" t="s">
        <v>17</v>
      </c>
      <c r="K93" s="2">
        <f>Sheet1!$D$5</f>
        <v>3.81E-3</v>
      </c>
      <c r="L93" s="2">
        <f t="shared" si="4"/>
        <v>0</v>
      </c>
      <c r="M93" s="2">
        <f>Sheet1!$D$2</f>
        <v>2.5099999999999996E-3</v>
      </c>
      <c r="N93" s="2">
        <f t="shared" si="5"/>
        <v>0</v>
      </c>
      <c r="O93" s="2">
        <f>Sheet1!$D$3</f>
        <v>1.4399999999999999E-3</v>
      </c>
      <c r="P93" s="2">
        <f t="shared" si="6"/>
        <v>0</v>
      </c>
      <c r="Q93" s="2">
        <f>Sheet1!$D$4</f>
        <v>4.6999999999999999E-4</v>
      </c>
      <c r="R93" s="2">
        <f t="shared" si="7"/>
        <v>0</v>
      </c>
    </row>
    <row r="94" spans="1:18" x14ac:dyDescent="0.3">
      <c r="A94" t="s">
        <v>162</v>
      </c>
      <c r="C94">
        <v>23.177972</v>
      </c>
      <c r="D94">
        <v>70.167556000000005</v>
      </c>
      <c r="G94" t="s">
        <v>61</v>
      </c>
      <c r="H94" t="s">
        <v>29</v>
      </c>
      <c r="I94" t="s">
        <v>17</v>
      </c>
      <c r="K94" s="2">
        <f>Sheet1!$D$5</f>
        <v>3.81E-3</v>
      </c>
      <c r="L94" s="2">
        <f t="shared" si="4"/>
        <v>0</v>
      </c>
      <c r="M94" s="2">
        <f>Sheet1!$D$2</f>
        <v>2.5099999999999996E-3</v>
      </c>
      <c r="N94" s="2">
        <f t="shared" si="5"/>
        <v>0</v>
      </c>
      <c r="O94" s="2">
        <f>Sheet1!$D$3</f>
        <v>1.4399999999999999E-3</v>
      </c>
      <c r="P94" s="2">
        <f t="shared" si="6"/>
        <v>0</v>
      </c>
      <c r="Q94" s="2">
        <f>Sheet1!$D$4</f>
        <v>4.6999999999999999E-4</v>
      </c>
      <c r="R94" s="2">
        <f t="shared" si="7"/>
        <v>0</v>
      </c>
    </row>
    <row r="95" spans="1:18" x14ac:dyDescent="0.3">
      <c r="A95" t="s">
        <v>163</v>
      </c>
      <c r="C95">
        <v>23.113189999999999</v>
      </c>
      <c r="D95">
        <v>70.085397999999998</v>
      </c>
      <c r="G95" t="s">
        <v>61</v>
      </c>
      <c r="H95" t="s">
        <v>29</v>
      </c>
      <c r="I95" t="s">
        <v>17</v>
      </c>
      <c r="K95" s="2">
        <f>Sheet1!$D$5</f>
        <v>3.81E-3</v>
      </c>
      <c r="L95" s="2">
        <f t="shared" si="4"/>
        <v>0</v>
      </c>
      <c r="M95" s="2">
        <f>Sheet1!$D$2</f>
        <v>2.5099999999999996E-3</v>
      </c>
      <c r="N95" s="2">
        <f t="shared" si="5"/>
        <v>0</v>
      </c>
      <c r="O95" s="2">
        <f>Sheet1!$D$3</f>
        <v>1.4399999999999999E-3</v>
      </c>
      <c r="P95" s="2">
        <f t="shared" si="6"/>
        <v>0</v>
      </c>
      <c r="Q95" s="2">
        <f>Sheet1!$D$4</f>
        <v>4.6999999999999999E-4</v>
      </c>
      <c r="R95" s="2">
        <f t="shared" si="7"/>
        <v>0</v>
      </c>
    </row>
    <row r="96" spans="1:18" x14ac:dyDescent="0.3">
      <c r="A96" t="s">
        <v>164</v>
      </c>
      <c r="C96">
        <v>15.328377</v>
      </c>
      <c r="D96">
        <v>76.205088000000003</v>
      </c>
      <c r="G96" t="s">
        <v>70</v>
      </c>
      <c r="H96" t="s">
        <v>29</v>
      </c>
      <c r="I96" t="s">
        <v>17</v>
      </c>
      <c r="K96" s="2">
        <f>Sheet1!$D$5</f>
        <v>3.81E-3</v>
      </c>
      <c r="L96" s="2">
        <f t="shared" si="4"/>
        <v>0</v>
      </c>
      <c r="M96" s="2">
        <f>Sheet1!$D$2</f>
        <v>2.5099999999999996E-3</v>
      </c>
      <c r="N96" s="2">
        <f t="shared" si="5"/>
        <v>0</v>
      </c>
      <c r="O96" s="2">
        <f>Sheet1!$D$3</f>
        <v>1.4399999999999999E-3</v>
      </c>
      <c r="P96" s="2">
        <f t="shared" si="6"/>
        <v>0</v>
      </c>
      <c r="Q96" s="2">
        <f>Sheet1!$D$4</f>
        <v>4.6999999999999999E-4</v>
      </c>
      <c r="R96" s="2">
        <f t="shared" si="7"/>
        <v>0</v>
      </c>
    </row>
    <row r="97" spans="1:18" x14ac:dyDescent="0.3">
      <c r="A97" t="s">
        <v>165</v>
      </c>
      <c r="C97">
        <v>23.100377000000002</v>
      </c>
      <c r="D97">
        <v>70.181141999999994</v>
      </c>
      <c r="G97" t="s">
        <v>61</v>
      </c>
      <c r="H97" t="s">
        <v>29</v>
      </c>
      <c r="I97" t="s">
        <v>17</v>
      </c>
      <c r="K97" s="2">
        <f>Sheet1!$D$5</f>
        <v>3.81E-3</v>
      </c>
      <c r="L97" s="2">
        <f t="shared" si="4"/>
        <v>0</v>
      </c>
      <c r="M97" s="2">
        <f>Sheet1!$D$2</f>
        <v>2.5099999999999996E-3</v>
      </c>
      <c r="N97" s="2">
        <f t="shared" si="5"/>
        <v>0</v>
      </c>
      <c r="O97" s="2">
        <f>Sheet1!$D$3</f>
        <v>1.4399999999999999E-3</v>
      </c>
      <c r="P97" s="2">
        <f t="shared" si="6"/>
        <v>0</v>
      </c>
      <c r="Q97" s="2">
        <f>Sheet1!$D$4</f>
        <v>4.6999999999999999E-4</v>
      </c>
      <c r="R97" s="2">
        <f t="shared" si="7"/>
        <v>0</v>
      </c>
    </row>
    <row r="98" spans="1:18" x14ac:dyDescent="0.3">
      <c r="A98" t="s">
        <v>166</v>
      </c>
      <c r="C98">
        <v>13.386722000000001</v>
      </c>
      <c r="D98">
        <v>80.108700999999996</v>
      </c>
      <c r="G98" t="s">
        <v>74</v>
      </c>
      <c r="H98" t="s">
        <v>29</v>
      </c>
      <c r="I98" t="s">
        <v>17</v>
      </c>
      <c r="K98" s="2">
        <f>Sheet1!$D$5</f>
        <v>3.81E-3</v>
      </c>
      <c r="L98" s="2">
        <f t="shared" si="4"/>
        <v>0</v>
      </c>
      <c r="M98" s="2">
        <f>Sheet1!$D$2</f>
        <v>2.5099999999999996E-3</v>
      </c>
      <c r="N98" s="2">
        <f t="shared" si="5"/>
        <v>0</v>
      </c>
      <c r="O98" s="2">
        <f>Sheet1!$D$3</f>
        <v>1.4399999999999999E-3</v>
      </c>
      <c r="P98" s="2">
        <f t="shared" si="6"/>
        <v>0</v>
      </c>
      <c r="Q98" s="2">
        <f>Sheet1!$D$4</f>
        <v>4.6999999999999999E-4</v>
      </c>
      <c r="R98" s="2">
        <f t="shared" si="7"/>
        <v>0</v>
      </c>
    </row>
    <row r="99" spans="1:18" x14ac:dyDescent="0.3">
      <c r="A99" t="s">
        <v>167</v>
      </c>
      <c r="C99">
        <v>13.425077</v>
      </c>
      <c r="D99">
        <v>80.087620000000001</v>
      </c>
      <c r="G99" t="s">
        <v>74</v>
      </c>
      <c r="H99" t="s">
        <v>29</v>
      </c>
      <c r="I99" t="s">
        <v>17</v>
      </c>
      <c r="K99" s="2">
        <f>Sheet1!$D$5</f>
        <v>3.81E-3</v>
      </c>
      <c r="L99" s="2">
        <f t="shared" si="4"/>
        <v>0</v>
      </c>
      <c r="M99" s="2">
        <f>Sheet1!$D$2</f>
        <v>2.5099999999999996E-3</v>
      </c>
      <c r="N99" s="2">
        <f t="shared" si="5"/>
        <v>0</v>
      </c>
      <c r="O99" s="2">
        <f>Sheet1!$D$3</f>
        <v>1.4399999999999999E-3</v>
      </c>
      <c r="P99" s="2">
        <f t="shared" si="6"/>
        <v>0</v>
      </c>
      <c r="Q99" s="2">
        <f>Sheet1!$D$4</f>
        <v>4.6999999999999999E-4</v>
      </c>
      <c r="R99" s="2">
        <f t="shared" si="7"/>
        <v>0</v>
      </c>
    </row>
    <row r="100" spans="1:18" x14ac:dyDescent="0.3">
      <c r="A100" t="s">
        <v>168</v>
      </c>
      <c r="C100">
        <v>14.137428999999999</v>
      </c>
      <c r="D100">
        <v>79.989552000000003</v>
      </c>
      <c r="G100" t="s">
        <v>65</v>
      </c>
      <c r="H100" t="s">
        <v>29</v>
      </c>
      <c r="I100" t="s">
        <v>17</v>
      </c>
      <c r="K100" s="2">
        <f>Sheet1!$D$5</f>
        <v>3.81E-3</v>
      </c>
      <c r="L100" s="2">
        <f t="shared" si="4"/>
        <v>0</v>
      </c>
      <c r="M100" s="2">
        <f>Sheet1!$D$2</f>
        <v>2.5099999999999996E-3</v>
      </c>
      <c r="N100" s="2">
        <f t="shared" si="5"/>
        <v>0</v>
      </c>
      <c r="O100" s="2">
        <f>Sheet1!$D$3</f>
        <v>1.4399999999999999E-3</v>
      </c>
      <c r="P100" s="2">
        <f t="shared" si="6"/>
        <v>0</v>
      </c>
      <c r="Q100" s="2">
        <f>Sheet1!$D$4</f>
        <v>4.6999999999999999E-4</v>
      </c>
      <c r="R100" s="2">
        <f t="shared" si="7"/>
        <v>0</v>
      </c>
    </row>
    <row r="101" spans="1:18" x14ac:dyDescent="0.3">
      <c r="A101" t="s">
        <v>169</v>
      </c>
      <c r="C101">
        <v>14.875643</v>
      </c>
      <c r="D101">
        <v>78.043235999999993</v>
      </c>
      <c r="G101" t="s">
        <v>65</v>
      </c>
      <c r="H101" t="s">
        <v>29</v>
      </c>
      <c r="I101" t="s">
        <v>17</v>
      </c>
      <c r="K101" s="2">
        <f>Sheet1!$D$5</f>
        <v>3.81E-3</v>
      </c>
      <c r="L101" s="2">
        <f t="shared" si="4"/>
        <v>0</v>
      </c>
      <c r="M101" s="2">
        <f>Sheet1!$D$2</f>
        <v>2.5099999999999996E-3</v>
      </c>
      <c r="N101" s="2">
        <f t="shared" si="5"/>
        <v>0</v>
      </c>
      <c r="O101" s="2">
        <f>Sheet1!$D$3</f>
        <v>1.4399999999999999E-3</v>
      </c>
      <c r="P101" s="2">
        <f t="shared" si="6"/>
        <v>0</v>
      </c>
      <c r="Q101" s="2">
        <f>Sheet1!$D$4</f>
        <v>4.6999999999999999E-4</v>
      </c>
      <c r="R101" s="2">
        <f t="shared" si="7"/>
        <v>0</v>
      </c>
    </row>
    <row r="102" spans="1:18" x14ac:dyDescent="0.3">
      <c r="A102" t="s">
        <v>170</v>
      </c>
      <c r="C102">
        <v>15.186362000000001</v>
      </c>
      <c r="D102">
        <v>76.316509999999994</v>
      </c>
      <c r="G102" t="s">
        <v>70</v>
      </c>
      <c r="H102" t="s">
        <v>29</v>
      </c>
      <c r="I102" t="s">
        <v>17</v>
      </c>
      <c r="K102" s="2">
        <f>Sheet1!$D$5</f>
        <v>3.81E-3</v>
      </c>
      <c r="L102" s="2">
        <f t="shared" si="4"/>
        <v>0</v>
      </c>
      <c r="M102" s="2">
        <f>Sheet1!$D$2</f>
        <v>2.5099999999999996E-3</v>
      </c>
      <c r="N102" s="2">
        <f t="shared" si="5"/>
        <v>0</v>
      </c>
      <c r="O102" s="2">
        <f>Sheet1!$D$3</f>
        <v>1.4399999999999999E-3</v>
      </c>
      <c r="P102" s="2">
        <f t="shared" si="6"/>
        <v>0</v>
      </c>
      <c r="Q102" s="2">
        <f>Sheet1!$D$4</f>
        <v>4.6999999999999999E-4</v>
      </c>
      <c r="R102" s="2">
        <f t="shared" si="7"/>
        <v>0</v>
      </c>
    </row>
    <row r="103" spans="1:18" x14ac:dyDescent="0.3">
      <c r="A103" t="s">
        <v>171</v>
      </c>
      <c r="C103">
        <v>15.269352</v>
      </c>
      <c r="D103">
        <v>74.027732</v>
      </c>
      <c r="G103" t="s">
        <v>172</v>
      </c>
      <c r="H103" t="s">
        <v>29</v>
      </c>
      <c r="I103" t="s">
        <v>17</v>
      </c>
      <c r="K103" s="2">
        <f>Sheet1!$D$5</f>
        <v>3.81E-3</v>
      </c>
      <c r="L103" s="2">
        <f t="shared" si="4"/>
        <v>0</v>
      </c>
      <c r="M103" s="2">
        <f>Sheet1!$D$2</f>
        <v>2.5099999999999996E-3</v>
      </c>
      <c r="N103" s="2">
        <f t="shared" si="5"/>
        <v>0</v>
      </c>
      <c r="O103" s="2">
        <f>Sheet1!$D$3</f>
        <v>1.4399999999999999E-3</v>
      </c>
      <c r="P103" s="2">
        <f t="shared" si="6"/>
        <v>0</v>
      </c>
      <c r="Q103" s="2">
        <f>Sheet1!$D$4</f>
        <v>4.6999999999999999E-4</v>
      </c>
      <c r="R103" s="2">
        <f t="shared" si="7"/>
        <v>0</v>
      </c>
    </row>
    <row r="104" spans="1:18" x14ac:dyDescent="0.3">
      <c r="A104" t="s">
        <v>173</v>
      </c>
      <c r="C104">
        <v>15.289695999999999</v>
      </c>
      <c r="D104">
        <v>76.227753000000007</v>
      </c>
      <c r="G104" t="s">
        <v>70</v>
      </c>
      <c r="H104" t="s">
        <v>29</v>
      </c>
      <c r="I104" t="s">
        <v>17</v>
      </c>
      <c r="K104" s="2">
        <f>Sheet1!$D$5</f>
        <v>3.81E-3</v>
      </c>
      <c r="L104" s="2">
        <f t="shared" si="4"/>
        <v>0</v>
      </c>
      <c r="M104" s="2">
        <f>Sheet1!$D$2</f>
        <v>2.5099999999999996E-3</v>
      </c>
      <c r="N104" s="2">
        <f t="shared" si="5"/>
        <v>0</v>
      </c>
      <c r="O104" s="2">
        <f>Sheet1!$D$3</f>
        <v>1.4399999999999999E-3</v>
      </c>
      <c r="P104" s="2">
        <f t="shared" si="6"/>
        <v>0</v>
      </c>
      <c r="Q104" s="2">
        <f>Sheet1!$D$4</f>
        <v>4.6999999999999999E-4</v>
      </c>
      <c r="R104" s="2">
        <f t="shared" si="7"/>
        <v>0</v>
      </c>
    </row>
    <row r="105" spans="1:18" x14ac:dyDescent="0.3">
      <c r="A105" t="s">
        <v>174</v>
      </c>
      <c r="C105">
        <v>15.334303</v>
      </c>
      <c r="D105">
        <v>76.287323000000001</v>
      </c>
      <c r="G105" t="s">
        <v>70</v>
      </c>
      <c r="H105" t="s">
        <v>29</v>
      </c>
      <c r="I105" t="s">
        <v>17</v>
      </c>
      <c r="K105" s="2">
        <f>Sheet1!$D$5</f>
        <v>3.81E-3</v>
      </c>
      <c r="L105" s="2">
        <f t="shared" si="4"/>
        <v>0</v>
      </c>
      <c r="M105" s="2">
        <f>Sheet1!$D$2</f>
        <v>2.5099999999999996E-3</v>
      </c>
      <c r="N105" s="2">
        <f t="shared" si="5"/>
        <v>0</v>
      </c>
      <c r="O105" s="2">
        <f>Sheet1!$D$3</f>
        <v>1.4399999999999999E-3</v>
      </c>
      <c r="P105" s="2">
        <f t="shared" si="6"/>
        <v>0</v>
      </c>
      <c r="Q105" s="2">
        <f>Sheet1!$D$4</f>
        <v>4.6999999999999999E-4</v>
      </c>
      <c r="R105" s="2">
        <f t="shared" si="7"/>
        <v>0</v>
      </c>
    </row>
    <row r="106" spans="1:18" x14ac:dyDescent="0.3">
      <c r="A106" t="s">
        <v>175</v>
      </c>
      <c r="C106">
        <v>15.339612000000001</v>
      </c>
      <c r="D106">
        <v>74.010159999999999</v>
      </c>
      <c r="G106" t="s">
        <v>172</v>
      </c>
      <c r="H106" t="s">
        <v>29</v>
      </c>
      <c r="I106" t="s">
        <v>17</v>
      </c>
      <c r="K106" s="2">
        <f>Sheet1!$D$5</f>
        <v>3.81E-3</v>
      </c>
      <c r="L106" s="2">
        <f t="shared" si="4"/>
        <v>0</v>
      </c>
      <c r="M106" s="2">
        <f>Sheet1!$D$2</f>
        <v>2.5099999999999996E-3</v>
      </c>
      <c r="N106" s="2">
        <f t="shared" si="5"/>
        <v>0</v>
      </c>
      <c r="O106" s="2">
        <f>Sheet1!$D$3</f>
        <v>1.4399999999999999E-3</v>
      </c>
      <c r="P106" s="2">
        <f t="shared" si="6"/>
        <v>0</v>
      </c>
      <c r="Q106" s="2">
        <f>Sheet1!$D$4</f>
        <v>4.6999999999999999E-4</v>
      </c>
      <c r="R106" s="2">
        <f t="shared" si="7"/>
        <v>0</v>
      </c>
    </row>
    <row r="107" spans="1:18" x14ac:dyDescent="0.3">
      <c r="A107" t="s">
        <v>176</v>
      </c>
      <c r="C107">
        <v>15.525561</v>
      </c>
      <c r="D107">
        <v>73.994191999999998</v>
      </c>
      <c r="G107" t="s">
        <v>172</v>
      </c>
      <c r="H107" t="s">
        <v>29</v>
      </c>
      <c r="I107" t="s">
        <v>17</v>
      </c>
      <c r="K107" s="2">
        <f>Sheet1!$D$5</f>
        <v>3.81E-3</v>
      </c>
      <c r="L107" s="2">
        <f t="shared" si="4"/>
        <v>0</v>
      </c>
      <c r="M107" s="2">
        <f>Sheet1!$D$2</f>
        <v>2.5099999999999996E-3</v>
      </c>
      <c r="N107" s="2">
        <f t="shared" si="5"/>
        <v>0</v>
      </c>
      <c r="O107" s="2">
        <f>Sheet1!$D$3</f>
        <v>1.4399999999999999E-3</v>
      </c>
      <c r="P107" s="2">
        <f t="shared" si="6"/>
        <v>0</v>
      </c>
      <c r="Q107" s="2">
        <f>Sheet1!$D$4</f>
        <v>4.6999999999999999E-4</v>
      </c>
      <c r="R107" s="2">
        <f t="shared" si="7"/>
        <v>0</v>
      </c>
    </row>
    <row r="108" spans="1:18" x14ac:dyDescent="0.3">
      <c r="A108" t="s">
        <v>177</v>
      </c>
      <c r="C108">
        <v>17.189623000000001</v>
      </c>
      <c r="D108">
        <v>79.220082000000005</v>
      </c>
      <c r="G108" t="s">
        <v>178</v>
      </c>
      <c r="H108" t="s">
        <v>29</v>
      </c>
      <c r="I108" t="s">
        <v>17</v>
      </c>
      <c r="K108" s="2">
        <f>Sheet1!$D$5</f>
        <v>3.81E-3</v>
      </c>
      <c r="L108" s="2">
        <f t="shared" si="4"/>
        <v>0</v>
      </c>
      <c r="M108" s="2">
        <f>Sheet1!$D$2</f>
        <v>2.5099999999999996E-3</v>
      </c>
      <c r="N108" s="2">
        <f t="shared" si="5"/>
        <v>0</v>
      </c>
      <c r="O108" s="2">
        <f>Sheet1!$D$3</f>
        <v>1.4399999999999999E-3</v>
      </c>
      <c r="P108" s="2">
        <f t="shared" si="6"/>
        <v>0</v>
      </c>
      <c r="Q108" s="2">
        <f>Sheet1!$D$4</f>
        <v>4.6999999999999999E-4</v>
      </c>
      <c r="R108" s="2">
        <f t="shared" si="7"/>
        <v>0</v>
      </c>
    </row>
    <row r="109" spans="1:18" x14ac:dyDescent="0.3">
      <c r="A109" t="s">
        <v>179</v>
      </c>
      <c r="C109">
        <v>22.054667999999999</v>
      </c>
      <c r="D109">
        <v>88.126161999999994</v>
      </c>
      <c r="G109" t="s">
        <v>32</v>
      </c>
      <c r="H109" t="s">
        <v>29</v>
      </c>
      <c r="I109" t="s">
        <v>17</v>
      </c>
      <c r="K109" s="2">
        <f>Sheet1!$D$5</f>
        <v>3.81E-3</v>
      </c>
      <c r="L109" s="2">
        <f t="shared" si="4"/>
        <v>0</v>
      </c>
      <c r="M109" s="2">
        <f>Sheet1!$D$2</f>
        <v>2.5099999999999996E-3</v>
      </c>
      <c r="N109" s="2">
        <f t="shared" si="5"/>
        <v>0</v>
      </c>
      <c r="O109" s="2">
        <f>Sheet1!$D$3</f>
        <v>1.4399999999999999E-3</v>
      </c>
      <c r="P109" s="2">
        <f t="shared" si="6"/>
        <v>0</v>
      </c>
      <c r="Q109" s="2">
        <f>Sheet1!$D$4</f>
        <v>4.6999999999999999E-4</v>
      </c>
      <c r="R109" s="2">
        <f t="shared" si="7"/>
        <v>0</v>
      </c>
    </row>
    <row r="110" spans="1:18" x14ac:dyDescent="0.3">
      <c r="A110" t="s">
        <v>180</v>
      </c>
      <c r="C110">
        <v>22.822113999999999</v>
      </c>
      <c r="D110">
        <v>86.076297999999994</v>
      </c>
      <c r="G110" t="s">
        <v>91</v>
      </c>
      <c r="H110" t="s">
        <v>29</v>
      </c>
      <c r="I110" t="s">
        <v>17</v>
      </c>
      <c r="K110" s="2">
        <f>Sheet1!$D$5</f>
        <v>3.81E-3</v>
      </c>
      <c r="L110" s="2">
        <f t="shared" si="4"/>
        <v>0</v>
      </c>
      <c r="M110" s="2">
        <f>Sheet1!$D$2</f>
        <v>2.5099999999999996E-3</v>
      </c>
      <c r="N110" s="2">
        <f t="shared" si="5"/>
        <v>0</v>
      </c>
      <c r="O110" s="2">
        <f>Sheet1!$D$3</f>
        <v>1.4399999999999999E-3</v>
      </c>
      <c r="P110" s="2">
        <f t="shared" si="6"/>
        <v>0</v>
      </c>
      <c r="Q110" s="2">
        <f>Sheet1!$D$4</f>
        <v>4.6999999999999999E-4</v>
      </c>
      <c r="R110" s="2">
        <f t="shared" si="7"/>
        <v>0</v>
      </c>
    </row>
    <row r="111" spans="1:18" x14ac:dyDescent="0.3">
      <c r="A111" t="s">
        <v>181</v>
      </c>
      <c r="C111">
        <v>20.939077999999999</v>
      </c>
      <c r="D111">
        <v>72.967996999999997</v>
      </c>
      <c r="G111" t="s">
        <v>61</v>
      </c>
      <c r="H111" t="s">
        <v>29</v>
      </c>
      <c r="I111" t="s">
        <v>17</v>
      </c>
      <c r="K111" s="2">
        <f>Sheet1!$D$5</f>
        <v>3.81E-3</v>
      </c>
      <c r="L111" s="2">
        <f t="shared" si="4"/>
        <v>0</v>
      </c>
      <c r="M111" s="2">
        <f>Sheet1!$D$2</f>
        <v>2.5099999999999996E-3</v>
      </c>
      <c r="N111" s="2">
        <f t="shared" si="5"/>
        <v>0</v>
      </c>
      <c r="O111" s="2">
        <f>Sheet1!$D$3</f>
        <v>1.4399999999999999E-3</v>
      </c>
      <c r="P111" s="2">
        <f t="shared" si="6"/>
        <v>0</v>
      </c>
      <c r="Q111" s="2">
        <f>Sheet1!$D$4</f>
        <v>4.6999999999999999E-4</v>
      </c>
      <c r="R111" s="2">
        <f t="shared" si="7"/>
        <v>0</v>
      </c>
    </row>
    <row r="112" spans="1:18" x14ac:dyDescent="0.3">
      <c r="A112" t="s">
        <v>182</v>
      </c>
      <c r="C112">
        <v>20.974826</v>
      </c>
      <c r="D112">
        <v>86.045427000000004</v>
      </c>
      <c r="G112" t="s">
        <v>67</v>
      </c>
      <c r="H112" t="s">
        <v>29</v>
      </c>
      <c r="I112" t="s">
        <v>17</v>
      </c>
      <c r="K112" s="2">
        <f>Sheet1!$D$5</f>
        <v>3.81E-3</v>
      </c>
      <c r="L112" s="2">
        <f t="shared" si="4"/>
        <v>0</v>
      </c>
      <c r="M112" s="2">
        <f>Sheet1!$D$2</f>
        <v>2.5099999999999996E-3</v>
      </c>
      <c r="N112" s="2">
        <f t="shared" si="5"/>
        <v>0</v>
      </c>
      <c r="O112" s="2">
        <f>Sheet1!$D$3</f>
        <v>1.4399999999999999E-3</v>
      </c>
      <c r="P112" s="2">
        <f t="shared" si="6"/>
        <v>0</v>
      </c>
      <c r="Q112" s="2">
        <f>Sheet1!$D$4</f>
        <v>4.6999999999999999E-4</v>
      </c>
      <c r="R112" s="2">
        <f t="shared" si="7"/>
        <v>0</v>
      </c>
    </row>
    <row r="113" spans="1:18" x14ac:dyDescent="0.3">
      <c r="A113" t="s">
        <v>183</v>
      </c>
      <c r="C113">
        <v>21.127545999999999</v>
      </c>
      <c r="D113">
        <v>79.002690000000001</v>
      </c>
      <c r="G113" t="s">
        <v>63</v>
      </c>
      <c r="H113" t="s">
        <v>29</v>
      </c>
      <c r="I113" t="s">
        <v>17</v>
      </c>
      <c r="K113" s="2">
        <f>Sheet1!$D$5</f>
        <v>3.81E-3</v>
      </c>
      <c r="L113" s="2">
        <f t="shared" si="4"/>
        <v>0</v>
      </c>
      <c r="M113" s="2">
        <f>Sheet1!$D$2</f>
        <v>2.5099999999999996E-3</v>
      </c>
      <c r="N113" s="2">
        <f t="shared" si="5"/>
        <v>0</v>
      </c>
      <c r="O113" s="2">
        <f>Sheet1!$D$3</f>
        <v>1.4399999999999999E-3</v>
      </c>
      <c r="P113" s="2">
        <f t="shared" si="6"/>
        <v>0</v>
      </c>
      <c r="Q113" s="2">
        <f>Sheet1!$D$4</f>
        <v>4.6999999999999999E-4</v>
      </c>
      <c r="R113" s="2">
        <f t="shared" si="7"/>
        <v>0</v>
      </c>
    </row>
    <row r="114" spans="1:18" x14ac:dyDescent="0.3">
      <c r="A114" t="s">
        <v>184</v>
      </c>
      <c r="C114">
        <v>21.184156999999999</v>
      </c>
      <c r="D114">
        <v>79.119254999999995</v>
      </c>
      <c r="G114" t="s">
        <v>63</v>
      </c>
      <c r="H114" t="s">
        <v>29</v>
      </c>
      <c r="I114" t="s">
        <v>17</v>
      </c>
      <c r="K114" s="2">
        <f>Sheet1!$D$5</f>
        <v>3.81E-3</v>
      </c>
      <c r="L114" s="2">
        <f t="shared" si="4"/>
        <v>0</v>
      </c>
      <c r="M114" s="2">
        <f>Sheet1!$D$2</f>
        <v>2.5099999999999996E-3</v>
      </c>
      <c r="N114" s="2">
        <f t="shared" si="5"/>
        <v>0</v>
      </c>
      <c r="O114" s="2">
        <f>Sheet1!$D$3</f>
        <v>1.4399999999999999E-3</v>
      </c>
      <c r="P114" s="2">
        <f t="shared" si="6"/>
        <v>0</v>
      </c>
      <c r="Q114" s="2">
        <f>Sheet1!$D$4</f>
        <v>4.6999999999999999E-4</v>
      </c>
      <c r="R114" s="2">
        <f t="shared" si="7"/>
        <v>0</v>
      </c>
    </row>
    <row r="115" spans="1:18" x14ac:dyDescent="0.3">
      <c r="A115" t="s">
        <v>185</v>
      </c>
      <c r="C115">
        <v>21.30424</v>
      </c>
      <c r="D115">
        <v>81.637586999999996</v>
      </c>
      <c r="G115" t="s">
        <v>80</v>
      </c>
      <c r="H115" t="s">
        <v>29</v>
      </c>
      <c r="I115" t="s">
        <v>17</v>
      </c>
      <c r="K115" s="2">
        <f>Sheet1!$D$5</f>
        <v>3.81E-3</v>
      </c>
      <c r="L115" s="2">
        <f t="shared" si="4"/>
        <v>0</v>
      </c>
      <c r="M115" s="2">
        <f>Sheet1!$D$2</f>
        <v>2.5099999999999996E-3</v>
      </c>
      <c r="N115" s="2">
        <f t="shared" si="5"/>
        <v>0</v>
      </c>
      <c r="O115" s="2">
        <f>Sheet1!$D$3</f>
        <v>1.4399999999999999E-3</v>
      </c>
      <c r="P115" s="2">
        <f t="shared" si="6"/>
        <v>0</v>
      </c>
      <c r="Q115" s="2">
        <f>Sheet1!$D$4</f>
        <v>4.6999999999999999E-4</v>
      </c>
      <c r="R115" s="2">
        <f t="shared" si="7"/>
        <v>0</v>
      </c>
    </row>
    <row r="116" spans="1:18" x14ac:dyDescent="0.3">
      <c r="A116" t="s">
        <v>186</v>
      </c>
      <c r="C116">
        <v>21.367097000000001</v>
      </c>
      <c r="D116">
        <v>81.679981999999995</v>
      </c>
      <c r="G116" t="s">
        <v>80</v>
      </c>
      <c r="H116" t="s">
        <v>29</v>
      </c>
      <c r="I116" t="s">
        <v>17</v>
      </c>
      <c r="K116" s="2">
        <f>Sheet1!$D$5</f>
        <v>3.81E-3</v>
      </c>
      <c r="L116" s="2">
        <f t="shared" si="4"/>
        <v>0</v>
      </c>
      <c r="M116" s="2">
        <f>Sheet1!$D$2</f>
        <v>2.5099999999999996E-3</v>
      </c>
      <c r="N116" s="2">
        <f t="shared" si="5"/>
        <v>0</v>
      </c>
      <c r="O116" s="2">
        <f>Sheet1!$D$3</f>
        <v>1.4399999999999999E-3</v>
      </c>
      <c r="P116" s="2">
        <f t="shared" si="6"/>
        <v>0</v>
      </c>
      <c r="Q116" s="2">
        <f>Sheet1!$D$4</f>
        <v>4.6999999999999999E-4</v>
      </c>
      <c r="R116" s="2">
        <f t="shared" si="7"/>
        <v>0</v>
      </c>
    </row>
    <row r="117" spans="1:18" x14ac:dyDescent="0.3">
      <c r="A117" t="s">
        <v>187</v>
      </c>
      <c r="C117">
        <v>21.683444999999999</v>
      </c>
      <c r="D117">
        <v>85.435233999999994</v>
      </c>
      <c r="G117" t="s">
        <v>67</v>
      </c>
      <c r="H117" t="s">
        <v>29</v>
      </c>
      <c r="I117" t="s">
        <v>17</v>
      </c>
      <c r="K117" s="2">
        <f>Sheet1!$D$5</f>
        <v>3.81E-3</v>
      </c>
      <c r="L117" s="2">
        <f t="shared" si="4"/>
        <v>0</v>
      </c>
      <c r="M117" s="2">
        <f>Sheet1!$D$2</f>
        <v>2.5099999999999996E-3</v>
      </c>
      <c r="N117" s="2">
        <f t="shared" si="5"/>
        <v>0</v>
      </c>
      <c r="O117" s="2">
        <f>Sheet1!$D$3</f>
        <v>1.4399999999999999E-3</v>
      </c>
      <c r="P117" s="2">
        <f t="shared" si="6"/>
        <v>0</v>
      </c>
      <c r="Q117" s="2">
        <f>Sheet1!$D$4</f>
        <v>4.6999999999999999E-4</v>
      </c>
      <c r="R117" s="2">
        <f t="shared" si="7"/>
        <v>0</v>
      </c>
    </row>
    <row r="118" spans="1:18" x14ac:dyDescent="0.3">
      <c r="A118" t="s">
        <v>188</v>
      </c>
      <c r="C118">
        <v>21.801655</v>
      </c>
      <c r="D118">
        <v>85.567218999999994</v>
      </c>
      <c r="G118" t="s">
        <v>67</v>
      </c>
      <c r="H118" t="s">
        <v>29</v>
      </c>
      <c r="I118" t="s">
        <v>17</v>
      </c>
      <c r="K118" s="2">
        <f>Sheet1!$D$5</f>
        <v>3.81E-3</v>
      </c>
      <c r="L118" s="2">
        <f t="shared" si="4"/>
        <v>0</v>
      </c>
      <c r="M118" s="2">
        <f>Sheet1!$D$2</f>
        <v>2.5099999999999996E-3</v>
      </c>
      <c r="N118" s="2">
        <f t="shared" si="5"/>
        <v>0</v>
      </c>
      <c r="O118" s="2">
        <f>Sheet1!$D$3</f>
        <v>1.4399999999999999E-3</v>
      </c>
      <c r="P118" s="2">
        <f t="shared" si="6"/>
        <v>0</v>
      </c>
      <c r="Q118" s="2">
        <f>Sheet1!$D$4</f>
        <v>4.6999999999999999E-4</v>
      </c>
      <c r="R118" s="2">
        <f t="shared" si="7"/>
        <v>0</v>
      </c>
    </row>
    <row r="119" spans="1:18" x14ac:dyDescent="0.3">
      <c r="A119" t="s">
        <v>189</v>
      </c>
      <c r="C119">
        <v>21.887550999999998</v>
      </c>
      <c r="D119">
        <v>82.053273000000004</v>
      </c>
      <c r="G119" t="s">
        <v>80</v>
      </c>
      <c r="H119" t="s">
        <v>29</v>
      </c>
      <c r="I119" t="s">
        <v>17</v>
      </c>
      <c r="K119" s="2">
        <f>Sheet1!$D$5</f>
        <v>3.81E-3</v>
      </c>
      <c r="L119" s="2">
        <f t="shared" si="4"/>
        <v>0</v>
      </c>
      <c r="M119" s="2">
        <f>Sheet1!$D$2</f>
        <v>2.5099999999999996E-3</v>
      </c>
      <c r="N119" s="2">
        <f t="shared" si="5"/>
        <v>0</v>
      </c>
      <c r="O119" s="2">
        <f>Sheet1!$D$3</f>
        <v>1.4399999999999999E-3</v>
      </c>
      <c r="P119" s="2">
        <f t="shared" si="6"/>
        <v>0</v>
      </c>
      <c r="Q119" s="2">
        <f>Sheet1!$D$4</f>
        <v>4.6999999999999999E-4</v>
      </c>
      <c r="R119" s="2">
        <f t="shared" si="7"/>
        <v>0</v>
      </c>
    </row>
    <row r="120" spans="1:18" x14ac:dyDescent="0.3">
      <c r="A120" t="s">
        <v>190</v>
      </c>
      <c r="C120">
        <v>21.926573000000001</v>
      </c>
      <c r="D120">
        <v>73.077461</v>
      </c>
      <c r="G120" t="s">
        <v>61</v>
      </c>
      <c r="H120" t="s">
        <v>29</v>
      </c>
      <c r="I120" t="s">
        <v>17</v>
      </c>
      <c r="K120" s="2">
        <f>Sheet1!$D$5</f>
        <v>3.81E-3</v>
      </c>
      <c r="L120" s="2">
        <f t="shared" si="4"/>
        <v>0</v>
      </c>
      <c r="M120" s="2">
        <f>Sheet1!$D$2</f>
        <v>2.5099999999999996E-3</v>
      </c>
      <c r="N120" s="2">
        <f t="shared" si="5"/>
        <v>0</v>
      </c>
      <c r="O120" s="2">
        <f>Sheet1!$D$3</f>
        <v>1.4399999999999999E-3</v>
      </c>
      <c r="P120" s="2">
        <f t="shared" si="6"/>
        <v>0</v>
      </c>
      <c r="Q120" s="2">
        <f>Sheet1!$D$4</f>
        <v>4.6999999999999999E-4</v>
      </c>
      <c r="R120" s="2">
        <f t="shared" si="7"/>
        <v>0</v>
      </c>
    </row>
    <row r="121" spans="1:18" x14ac:dyDescent="0.3">
      <c r="A121" t="s">
        <v>191</v>
      </c>
      <c r="C121">
        <v>20.696142999999999</v>
      </c>
      <c r="D121">
        <v>78.638879000000003</v>
      </c>
      <c r="G121" t="s">
        <v>63</v>
      </c>
      <c r="H121" t="s">
        <v>29</v>
      </c>
      <c r="I121" t="s">
        <v>17</v>
      </c>
      <c r="K121" s="2">
        <f>Sheet1!$D$5</f>
        <v>3.81E-3</v>
      </c>
      <c r="L121" s="2">
        <f t="shared" si="4"/>
        <v>0</v>
      </c>
      <c r="M121" s="2">
        <f>Sheet1!$D$2</f>
        <v>2.5099999999999996E-3</v>
      </c>
      <c r="N121" s="2">
        <f t="shared" si="5"/>
        <v>0</v>
      </c>
      <c r="O121" s="2">
        <f>Sheet1!$D$3</f>
        <v>1.4399999999999999E-3</v>
      </c>
      <c r="P121" s="2">
        <f t="shared" si="6"/>
        <v>0</v>
      </c>
      <c r="Q121" s="2">
        <f>Sheet1!$D$4</f>
        <v>4.6999999999999999E-4</v>
      </c>
      <c r="R121" s="2">
        <f t="shared" si="7"/>
        <v>0</v>
      </c>
    </row>
    <row r="122" spans="1:18" x14ac:dyDescent="0.3">
      <c r="A122" t="s">
        <v>192</v>
      </c>
      <c r="C122">
        <v>20.661602999999999</v>
      </c>
      <c r="D122">
        <v>78.492357999999996</v>
      </c>
      <c r="G122" t="s">
        <v>63</v>
      </c>
      <c r="H122" t="s">
        <v>29</v>
      </c>
      <c r="I122" t="s">
        <v>17</v>
      </c>
      <c r="K122" s="2">
        <f>Sheet1!$D$5</f>
        <v>3.81E-3</v>
      </c>
      <c r="L122" s="2">
        <f t="shared" si="4"/>
        <v>0</v>
      </c>
      <c r="M122" s="2">
        <f>Sheet1!$D$2</f>
        <v>2.5099999999999996E-3</v>
      </c>
      <c r="N122" s="2">
        <f t="shared" si="5"/>
        <v>0</v>
      </c>
      <c r="O122" s="2">
        <f>Sheet1!$D$3</f>
        <v>1.4399999999999999E-3</v>
      </c>
      <c r="P122" s="2">
        <f t="shared" si="6"/>
        <v>0</v>
      </c>
      <c r="Q122" s="2">
        <f>Sheet1!$D$4</f>
        <v>4.6999999999999999E-4</v>
      </c>
      <c r="R122" s="2">
        <f t="shared" si="7"/>
        <v>0</v>
      </c>
    </row>
    <row r="123" spans="1:18" x14ac:dyDescent="0.3">
      <c r="A123" t="s">
        <v>193</v>
      </c>
      <c r="C123">
        <v>22.811793999999999</v>
      </c>
      <c r="D123">
        <v>86.085472999999993</v>
      </c>
      <c r="G123" t="s">
        <v>91</v>
      </c>
      <c r="H123" t="s">
        <v>29</v>
      </c>
      <c r="I123" t="s">
        <v>17</v>
      </c>
      <c r="K123" s="2">
        <f>Sheet1!$D$5</f>
        <v>3.81E-3</v>
      </c>
      <c r="L123" s="2">
        <f t="shared" si="4"/>
        <v>0</v>
      </c>
      <c r="M123" s="2">
        <f>Sheet1!$D$2</f>
        <v>2.5099999999999996E-3</v>
      </c>
      <c r="N123" s="2">
        <f t="shared" si="5"/>
        <v>0</v>
      </c>
      <c r="O123" s="2">
        <f>Sheet1!$D$3</f>
        <v>1.4399999999999999E-3</v>
      </c>
      <c r="P123" s="2">
        <f t="shared" si="6"/>
        <v>0</v>
      </c>
      <c r="Q123" s="2">
        <f>Sheet1!$D$4</f>
        <v>4.6999999999999999E-4</v>
      </c>
      <c r="R123" s="2">
        <f t="shared" si="7"/>
        <v>0</v>
      </c>
    </row>
    <row r="124" spans="1:18" x14ac:dyDescent="0.3">
      <c r="A124" t="s">
        <v>194</v>
      </c>
      <c r="C124">
        <v>22.795251</v>
      </c>
      <c r="D124">
        <v>86.234198000000006</v>
      </c>
      <c r="G124" t="s">
        <v>91</v>
      </c>
      <c r="H124" t="s">
        <v>29</v>
      </c>
      <c r="I124" t="s">
        <v>17</v>
      </c>
      <c r="K124" s="2">
        <f>Sheet1!$D$5</f>
        <v>3.81E-3</v>
      </c>
      <c r="L124" s="2">
        <f t="shared" si="4"/>
        <v>0</v>
      </c>
      <c r="M124" s="2">
        <f>Sheet1!$D$2</f>
        <v>2.5099999999999996E-3</v>
      </c>
      <c r="N124" s="2">
        <f t="shared" si="5"/>
        <v>0</v>
      </c>
      <c r="O124" s="2">
        <f>Sheet1!$D$3</f>
        <v>1.4399999999999999E-3</v>
      </c>
      <c r="P124" s="2">
        <f t="shared" si="6"/>
        <v>0</v>
      </c>
      <c r="Q124" s="2">
        <f>Sheet1!$D$4</f>
        <v>4.6999999999999999E-4</v>
      </c>
      <c r="R124" s="2">
        <f t="shared" si="7"/>
        <v>0</v>
      </c>
    </row>
    <row r="125" spans="1:18" x14ac:dyDescent="0.3">
      <c r="A125" t="s">
        <v>195</v>
      </c>
      <c r="C125">
        <v>22.795363999999999</v>
      </c>
      <c r="D125">
        <v>86.134011999999998</v>
      </c>
      <c r="G125" t="s">
        <v>91</v>
      </c>
      <c r="H125" t="s">
        <v>29</v>
      </c>
      <c r="I125" t="s">
        <v>17</v>
      </c>
      <c r="K125" s="2">
        <f>Sheet1!$D$5</f>
        <v>3.81E-3</v>
      </c>
      <c r="L125" s="2">
        <f t="shared" si="4"/>
        <v>0</v>
      </c>
      <c r="M125" s="2">
        <f>Sheet1!$D$2</f>
        <v>2.5099999999999996E-3</v>
      </c>
      <c r="N125" s="2">
        <f t="shared" si="5"/>
        <v>0</v>
      </c>
      <c r="O125" s="2">
        <f>Sheet1!$D$3</f>
        <v>1.4399999999999999E-3</v>
      </c>
      <c r="P125" s="2">
        <f t="shared" si="6"/>
        <v>0</v>
      </c>
      <c r="Q125" s="2">
        <f>Sheet1!$D$4</f>
        <v>4.6999999999999999E-4</v>
      </c>
      <c r="R125" s="2">
        <f t="shared" si="7"/>
        <v>0</v>
      </c>
    </row>
    <row r="126" spans="1:18" x14ac:dyDescent="0.3">
      <c r="A126" t="s">
        <v>196</v>
      </c>
      <c r="C126">
        <v>22.715727999999999</v>
      </c>
      <c r="D126">
        <v>88.372253000000001</v>
      </c>
      <c r="G126" t="s">
        <v>32</v>
      </c>
      <c r="H126" t="s">
        <v>29</v>
      </c>
      <c r="I126" t="s">
        <v>17</v>
      </c>
      <c r="K126" s="2">
        <f>Sheet1!$D$5</f>
        <v>3.81E-3</v>
      </c>
      <c r="L126" s="2">
        <f t="shared" si="4"/>
        <v>0</v>
      </c>
      <c r="M126" s="2">
        <f>Sheet1!$D$2</f>
        <v>2.5099999999999996E-3</v>
      </c>
      <c r="N126" s="2">
        <f t="shared" si="5"/>
        <v>0</v>
      </c>
      <c r="O126" s="2">
        <f>Sheet1!$D$3</f>
        <v>1.4399999999999999E-3</v>
      </c>
      <c r="P126" s="2">
        <f t="shared" si="6"/>
        <v>0</v>
      </c>
      <c r="Q126" s="2">
        <f>Sheet1!$D$4</f>
        <v>4.6999999999999999E-4</v>
      </c>
      <c r="R126" s="2">
        <f t="shared" si="7"/>
        <v>0</v>
      </c>
    </row>
    <row r="127" spans="1:18" x14ac:dyDescent="0.3">
      <c r="A127" t="s">
        <v>197</v>
      </c>
      <c r="C127">
        <v>22.640847000000001</v>
      </c>
      <c r="D127">
        <v>75.598236999999997</v>
      </c>
      <c r="G127" t="s">
        <v>198</v>
      </c>
      <c r="H127" t="s">
        <v>29</v>
      </c>
      <c r="I127" t="s">
        <v>17</v>
      </c>
      <c r="K127" s="2">
        <f>Sheet1!$D$5</f>
        <v>3.81E-3</v>
      </c>
      <c r="L127" s="2">
        <f t="shared" si="4"/>
        <v>0</v>
      </c>
      <c r="M127" s="2">
        <f>Sheet1!$D$2</f>
        <v>2.5099999999999996E-3</v>
      </c>
      <c r="N127" s="2">
        <f t="shared" si="5"/>
        <v>0</v>
      </c>
      <c r="O127" s="2">
        <f>Sheet1!$D$3</f>
        <v>1.4399999999999999E-3</v>
      </c>
      <c r="P127" s="2">
        <f t="shared" si="6"/>
        <v>0</v>
      </c>
      <c r="Q127" s="2">
        <f>Sheet1!$D$4</f>
        <v>4.6999999999999999E-4</v>
      </c>
      <c r="R127" s="2">
        <f t="shared" si="7"/>
        <v>0</v>
      </c>
    </row>
    <row r="128" spans="1:18" x14ac:dyDescent="0.3">
      <c r="A128" t="s">
        <v>199</v>
      </c>
      <c r="C128">
        <v>22.635024000000001</v>
      </c>
      <c r="D128">
        <v>88.337701999999993</v>
      </c>
      <c r="G128" t="s">
        <v>32</v>
      </c>
      <c r="H128" t="s">
        <v>29</v>
      </c>
      <c r="I128" t="s">
        <v>17</v>
      </c>
      <c r="K128" s="2">
        <f>Sheet1!$D$5</f>
        <v>3.81E-3</v>
      </c>
      <c r="L128" s="2">
        <f t="shared" si="4"/>
        <v>0</v>
      </c>
      <c r="M128" s="2">
        <f>Sheet1!$D$2</f>
        <v>2.5099999999999996E-3</v>
      </c>
      <c r="N128" s="2">
        <f t="shared" si="5"/>
        <v>0</v>
      </c>
      <c r="O128" s="2">
        <f>Sheet1!$D$3</f>
        <v>1.4399999999999999E-3</v>
      </c>
      <c r="P128" s="2">
        <f t="shared" si="6"/>
        <v>0</v>
      </c>
      <c r="Q128" s="2">
        <f>Sheet1!$D$4</f>
        <v>4.6999999999999999E-4</v>
      </c>
      <c r="R128" s="2">
        <f t="shared" si="7"/>
        <v>0</v>
      </c>
    </row>
    <row r="129" spans="1:18" x14ac:dyDescent="0.3">
      <c r="A129" t="s">
        <v>200</v>
      </c>
      <c r="C129">
        <v>18.792528000000001</v>
      </c>
      <c r="D129">
        <v>73.350359999999995</v>
      </c>
      <c r="G129" t="s">
        <v>63</v>
      </c>
      <c r="H129" t="s">
        <v>29</v>
      </c>
      <c r="I129" t="s">
        <v>17</v>
      </c>
      <c r="K129" s="2">
        <f>Sheet1!$D$5</f>
        <v>3.81E-3</v>
      </c>
      <c r="L129" s="2">
        <f t="shared" si="4"/>
        <v>0</v>
      </c>
      <c r="M129" s="2">
        <f>Sheet1!$D$2</f>
        <v>2.5099999999999996E-3</v>
      </c>
      <c r="N129" s="2">
        <f t="shared" si="5"/>
        <v>0</v>
      </c>
      <c r="O129" s="2">
        <f>Sheet1!$D$3</f>
        <v>1.4399999999999999E-3</v>
      </c>
      <c r="P129" s="2">
        <f t="shared" si="6"/>
        <v>0</v>
      </c>
      <c r="Q129" s="2">
        <f>Sheet1!$D$4</f>
        <v>4.6999999999999999E-4</v>
      </c>
      <c r="R129" s="2">
        <f t="shared" si="7"/>
        <v>0</v>
      </c>
    </row>
    <row r="130" spans="1:18" x14ac:dyDescent="0.3">
      <c r="A130" t="s">
        <v>201</v>
      </c>
      <c r="C130">
        <v>22.048656999999999</v>
      </c>
      <c r="D130">
        <v>85.365032999999997</v>
      </c>
      <c r="G130" t="s">
        <v>67</v>
      </c>
      <c r="H130" t="s">
        <v>29</v>
      </c>
      <c r="I130" t="s">
        <v>17</v>
      </c>
      <c r="K130" s="2">
        <f>Sheet1!$D$5</f>
        <v>3.81E-3</v>
      </c>
      <c r="L130" s="2">
        <f t="shared" si="4"/>
        <v>0</v>
      </c>
      <c r="M130" s="2">
        <f>Sheet1!$D$2</f>
        <v>2.5099999999999996E-3</v>
      </c>
      <c r="N130" s="2">
        <f t="shared" si="5"/>
        <v>0</v>
      </c>
      <c r="O130" s="2">
        <f>Sheet1!$D$3</f>
        <v>1.4399999999999999E-3</v>
      </c>
      <c r="P130" s="2">
        <f t="shared" si="6"/>
        <v>0</v>
      </c>
      <c r="Q130" s="2">
        <f>Sheet1!$D$4</f>
        <v>4.6999999999999999E-4</v>
      </c>
      <c r="R130" s="2">
        <f t="shared" si="7"/>
        <v>0</v>
      </c>
    </row>
    <row r="131" spans="1:18" x14ac:dyDescent="0.3">
      <c r="A131" t="s">
        <v>202</v>
      </c>
      <c r="C131">
        <v>22.004135999999999</v>
      </c>
      <c r="D131">
        <v>82.671233000000001</v>
      </c>
      <c r="G131" t="s">
        <v>80</v>
      </c>
      <c r="H131" t="s">
        <v>29</v>
      </c>
      <c r="I131" t="s">
        <v>17</v>
      </c>
      <c r="K131" s="2">
        <f>Sheet1!$D$5</f>
        <v>3.81E-3</v>
      </c>
      <c r="L131" s="2">
        <f t="shared" ref="L131:L159" si="8">J131*K131</f>
        <v>0</v>
      </c>
      <c r="M131" s="2">
        <f>Sheet1!$D$2</f>
        <v>2.5099999999999996E-3</v>
      </c>
      <c r="N131" s="2">
        <f t="shared" ref="N131:N159" si="9">J131*M131</f>
        <v>0</v>
      </c>
      <c r="O131" s="2">
        <f>Sheet1!$D$3</f>
        <v>1.4399999999999999E-3</v>
      </c>
      <c r="P131" s="2">
        <f t="shared" ref="P131:P159" si="10">J131*O131</f>
        <v>0</v>
      </c>
      <c r="Q131" s="2">
        <f>Sheet1!$D$4</f>
        <v>4.6999999999999999E-4</v>
      </c>
      <c r="R131" s="2">
        <f t="shared" ref="R131:R159" si="11">Q131*J131</f>
        <v>0</v>
      </c>
    </row>
    <row r="132" spans="1:18" x14ac:dyDescent="0.3">
      <c r="A132" t="s">
        <v>203</v>
      </c>
      <c r="C132">
        <v>19.788492999999999</v>
      </c>
      <c r="D132">
        <v>72.744647999999998</v>
      </c>
      <c r="G132" t="s">
        <v>63</v>
      </c>
      <c r="H132" t="s">
        <v>29</v>
      </c>
      <c r="I132" t="s">
        <v>17</v>
      </c>
      <c r="K132" s="2">
        <f>Sheet1!$D$5</f>
        <v>3.81E-3</v>
      </c>
      <c r="L132" s="2">
        <f t="shared" si="8"/>
        <v>0</v>
      </c>
      <c r="M132" s="2">
        <f>Sheet1!$D$2</f>
        <v>2.5099999999999996E-3</v>
      </c>
      <c r="N132" s="2">
        <f t="shared" si="9"/>
        <v>0</v>
      </c>
      <c r="O132" s="2">
        <f>Sheet1!$D$3</f>
        <v>1.4399999999999999E-3</v>
      </c>
      <c r="P132" s="2">
        <f t="shared" si="10"/>
        <v>0</v>
      </c>
      <c r="Q132" s="2">
        <f>Sheet1!$D$4</f>
        <v>4.6999999999999999E-4</v>
      </c>
      <c r="R132" s="2">
        <f t="shared" si="11"/>
        <v>0</v>
      </c>
    </row>
    <row r="133" spans="1:18" x14ac:dyDescent="0.3">
      <c r="A133" t="s">
        <v>204</v>
      </c>
      <c r="C133">
        <v>19.850235999999999</v>
      </c>
      <c r="D133">
        <v>75.855731000000006</v>
      </c>
      <c r="G133" t="s">
        <v>63</v>
      </c>
      <c r="H133" t="s">
        <v>29</v>
      </c>
      <c r="I133" t="s">
        <v>17</v>
      </c>
      <c r="K133" s="2">
        <f>Sheet1!$D$5</f>
        <v>3.81E-3</v>
      </c>
      <c r="L133" s="2">
        <f t="shared" si="8"/>
        <v>0</v>
      </c>
      <c r="M133" s="2">
        <f>Sheet1!$D$2</f>
        <v>2.5099999999999996E-3</v>
      </c>
      <c r="N133" s="2">
        <f t="shared" si="9"/>
        <v>0</v>
      </c>
      <c r="O133" s="2">
        <f>Sheet1!$D$3</f>
        <v>1.4399999999999999E-3</v>
      </c>
      <c r="P133" s="2">
        <f t="shared" si="10"/>
        <v>0</v>
      </c>
      <c r="Q133" s="2">
        <f>Sheet1!$D$4</f>
        <v>4.6999999999999999E-4</v>
      </c>
      <c r="R133" s="2">
        <f t="shared" si="11"/>
        <v>0</v>
      </c>
    </row>
    <row r="134" spans="1:18" x14ac:dyDescent="0.3">
      <c r="A134" t="s">
        <v>205</v>
      </c>
      <c r="C134">
        <v>19.930468999999999</v>
      </c>
      <c r="D134">
        <v>79.120067000000006</v>
      </c>
      <c r="G134" t="s">
        <v>63</v>
      </c>
      <c r="H134" t="s">
        <v>29</v>
      </c>
      <c r="I134" t="s">
        <v>17</v>
      </c>
      <c r="K134" s="2">
        <f>Sheet1!$D$5</f>
        <v>3.81E-3</v>
      </c>
      <c r="L134" s="2">
        <f t="shared" si="8"/>
        <v>0</v>
      </c>
      <c r="M134" s="2">
        <f>Sheet1!$D$2</f>
        <v>2.5099999999999996E-3</v>
      </c>
      <c r="N134" s="2">
        <f t="shared" si="9"/>
        <v>0</v>
      </c>
      <c r="O134" s="2">
        <f>Sheet1!$D$3</f>
        <v>1.4399999999999999E-3</v>
      </c>
      <c r="P134" s="2">
        <f t="shared" si="10"/>
        <v>0</v>
      </c>
      <c r="Q134" s="2">
        <f>Sheet1!$D$4</f>
        <v>4.6999999999999999E-4</v>
      </c>
      <c r="R134" s="2">
        <f t="shared" si="11"/>
        <v>0</v>
      </c>
    </row>
    <row r="135" spans="1:18" x14ac:dyDescent="0.3">
      <c r="A135" t="s">
        <v>206</v>
      </c>
      <c r="C135">
        <v>28.097508000000001</v>
      </c>
      <c r="D135">
        <v>76.582409999999996</v>
      </c>
      <c r="G135" t="s">
        <v>28</v>
      </c>
      <c r="H135" t="s">
        <v>29</v>
      </c>
      <c r="I135" t="s">
        <v>17</v>
      </c>
      <c r="K135" s="2">
        <f>Sheet1!$D$5</f>
        <v>3.81E-3</v>
      </c>
      <c r="L135" s="2">
        <f t="shared" si="8"/>
        <v>0</v>
      </c>
      <c r="M135" s="2">
        <f>Sheet1!$D$2</f>
        <v>2.5099999999999996E-3</v>
      </c>
      <c r="N135" s="2">
        <f t="shared" si="9"/>
        <v>0</v>
      </c>
      <c r="O135" s="2">
        <f>Sheet1!$D$3</f>
        <v>1.4399999999999999E-3</v>
      </c>
      <c r="P135" s="2">
        <f t="shared" si="10"/>
        <v>0</v>
      </c>
      <c r="Q135" s="2">
        <f>Sheet1!$D$4</f>
        <v>4.6999999999999999E-4</v>
      </c>
      <c r="R135" s="2">
        <f t="shared" si="11"/>
        <v>0</v>
      </c>
    </row>
    <row r="136" spans="1:18" x14ac:dyDescent="0.3">
      <c r="A136" t="s">
        <v>207</v>
      </c>
      <c r="C136">
        <v>18.803308999999999</v>
      </c>
      <c r="D136">
        <v>73.339889999999997</v>
      </c>
      <c r="G136" t="s">
        <v>63</v>
      </c>
      <c r="H136" t="s">
        <v>29</v>
      </c>
      <c r="I136" t="s">
        <v>17</v>
      </c>
      <c r="K136" s="2">
        <f>Sheet1!$D$5</f>
        <v>3.81E-3</v>
      </c>
      <c r="L136" s="2">
        <f t="shared" si="8"/>
        <v>0</v>
      </c>
      <c r="M136" s="2">
        <f>Sheet1!$D$2</f>
        <v>2.5099999999999996E-3</v>
      </c>
      <c r="N136" s="2">
        <f t="shared" si="9"/>
        <v>0</v>
      </c>
      <c r="O136" s="2">
        <f>Sheet1!$D$3</f>
        <v>1.4399999999999999E-3</v>
      </c>
      <c r="P136" s="2">
        <f t="shared" si="10"/>
        <v>0</v>
      </c>
      <c r="Q136" s="2">
        <f>Sheet1!$D$4</f>
        <v>4.6999999999999999E-4</v>
      </c>
      <c r="R136" s="2">
        <f t="shared" si="11"/>
        <v>0</v>
      </c>
    </row>
    <row r="137" spans="1:18" x14ac:dyDescent="0.3">
      <c r="A137" t="s">
        <v>208</v>
      </c>
      <c r="C137">
        <v>28.734515999999999</v>
      </c>
      <c r="D137">
        <v>76.842644000000007</v>
      </c>
      <c r="G137" t="s">
        <v>28</v>
      </c>
      <c r="H137" t="s">
        <v>29</v>
      </c>
      <c r="I137" t="s">
        <v>17</v>
      </c>
      <c r="K137" s="2">
        <f>Sheet1!$D$5</f>
        <v>3.81E-3</v>
      </c>
      <c r="L137" s="2">
        <f t="shared" si="8"/>
        <v>0</v>
      </c>
      <c r="M137" s="2">
        <f>Sheet1!$D$2</f>
        <v>2.5099999999999996E-3</v>
      </c>
      <c r="N137" s="2">
        <f t="shared" si="9"/>
        <v>0</v>
      </c>
      <c r="O137" s="2">
        <f>Sheet1!$D$3</f>
        <v>1.4399999999999999E-3</v>
      </c>
      <c r="P137" s="2">
        <f t="shared" si="10"/>
        <v>0</v>
      </c>
      <c r="Q137" s="2">
        <f>Sheet1!$D$4</f>
        <v>4.6999999999999999E-4</v>
      </c>
      <c r="R137" s="2">
        <f t="shared" si="11"/>
        <v>0</v>
      </c>
    </row>
    <row r="138" spans="1:18" x14ac:dyDescent="0.3">
      <c r="A138" t="s">
        <v>209</v>
      </c>
      <c r="C138">
        <v>30.651464000000001</v>
      </c>
      <c r="D138">
        <v>76.317017000000007</v>
      </c>
      <c r="G138" t="s">
        <v>46</v>
      </c>
      <c r="H138" t="s">
        <v>29</v>
      </c>
      <c r="I138" t="s">
        <v>17</v>
      </c>
      <c r="K138" s="2">
        <f>Sheet1!$D$5</f>
        <v>3.81E-3</v>
      </c>
      <c r="L138" s="2">
        <f t="shared" si="8"/>
        <v>0</v>
      </c>
      <c r="M138" s="2">
        <f>Sheet1!$D$2</f>
        <v>2.5099999999999996E-3</v>
      </c>
      <c r="N138" s="2">
        <f t="shared" si="9"/>
        <v>0</v>
      </c>
      <c r="O138" s="2">
        <f>Sheet1!$D$3</f>
        <v>1.4399999999999999E-3</v>
      </c>
      <c r="P138" s="2">
        <f t="shared" si="10"/>
        <v>0</v>
      </c>
      <c r="Q138" s="2">
        <f>Sheet1!$D$4</f>
        <v>4.6999999999999999E-4</v>
      </c>
      <c r="R138" s="2">
        <f t="shared" si="11"/>
        <v>0</v>
      </c>
    </row>
    <row r="139" spans="1:18" x14ac:dyDescent="0.3">
      <c r="A139" t="s">
        <v>210</v>
      </c>
      <c r="C139">
        <v>30.845731000000001</v>
      </c>
      <c r="D139">
        <v>75.960442</v>
      </c>
      <c r="G139" t="s">
        <v>46</v>
      </c>
      <c r="H139" t="s">
        <v>29</v>
      </c>
      <c r="I139" t="s">
        <v>17</v>
      </c>
      <c r="K139" s="2">
        <f>Sheet1!$D$5</f>
        <v>3.81E-3</v>
      </c>
      <c r="L139" s="2">
        <f t="shared" si="8"/>
        <v>0</v>
      </c>
      <c r="M139" s="2">
        <f>Sheet1!$D$2</f>
        <v>2.5099999999999996E-3</v>
      </c>
      <c r="N139" s="2">
        <f t="shared" si="9"/>
        <v>0</v>
      </c>
      <c r="O139" s="2">
        <f>Sheet1!$D$3</f>
        <v>1.4399999999999999E-3</v>
      </c>
      <c r="P139" s="2">
        <f t="shared" si="10"/>
        <v>0</v>
      </c>
      <c r="Q139" s="2">
        <f>Sheet1!$D$4</f>
        <v>4.6999999999999999E-4</v>
      </c>
      <c r="R139" s="2">
        <f t="shared" si="11"/>
        <v>0</v>
      </c>
    </row>
    <row r="140" spans="1:18" x14ac:dyDescent="0.3">
      <c r="A140" t="s">
        <v>211</v>
      </c>
      <c r="C140">
        <v>30.885415999999999</v>
      </c>
      <c r="D140">
        <v>75.897013000000001</v>
      </c>
      <c r="G140" t="s">
        <v>46</v>
      </c>
      <c r="H140" t="s">
        <v>29</v>
      </c>
      <c r="I140" t="s">
        <v>17</v>
      </c>
      <c r="K140" s="2">
        <f>Sheet1!$D$5</f>
        <v>3.81E-3</v>
      </c>
      <c r="L140" s="2">
        <f t="shared" si="8"/>
        <v>0</v>
      </c>
      <c r="M140" s="2">
        <f>Sheet1!$D$2</f>
        <v>2.5099999999999996E-3</v>
      </c>
      <c r="N140" s="2">
        <f t="shared" si="9"/>
        <v>0</v>
      </c>
      <c r="O140" s="2">
        <f>Sheet1!$D$3</f>
        <v>1.4399999999999999E-3</v>
      </c>
      <c r="P140" s="2">
        <f t="shared" si="10"/>
        <v>0</v>
      </c>
      <c r="Q140" s="2">
        <f>Sheet1!$D$4</f>
        <v>4.6999999999999999E-4</v>
      </c>
      <c r="R140" s="2">
        <f t="shared" si="11"/>
        <v>0</v>
      </c>
    </row>
    <row r="141" spans="1:18" x14ac:dyDescent="0.3">
      <c r="A141" t="s">
        <v>212</v>
      </c>
      <c r="C141">
        <v>30.887595000000001</v>
      </c>
      <c r="D141">
        <v>75.907098000000005</v>
      </c>
      <c r="G141" t="s">
        <v>46</v>
      </c>
      <c r="H141" t="s">
        <v>29</v>
      </c>
      <c r="I141" t="s">
        <v>17</v>
      </c>
      <c r="K141" s="2">
        <f>Sheet1!$D$5</f>
        <v>3.81E-3</v>
      </c>
      <c r="L141" s="2">
        <f t="shared" si="8"/>
        <v>0</v>
      </c>
      <c r="M141" s="2">
        <f>Sheet1!$D$2</f>
        <v>2.5099999999999996E-3</v>
      </c>
      <c r="N141" s="2">
        <f t="shared" si="9"/>
        <v>0</v>
      </c>
      <c r="O141" s="2">
        <f>Sheet1!$D$3</f>
        <v>1.4399999999999999E-3</v>
      </c>
      <c r="P141" s="2">
        <f t="shared" si="10"/>
        <v>0</v>
      </c>
      <c r="Q141" s="2">
        <f>Sheet1!$D$4</f>
        <v>4.6999999999999999E-4</v>
      </c>
      <c r="R141" s="2">
        <f t="shared" si="11"/>
        <v>0</v>
      </c>
    </row>
    <row r="142" spans="1:18" x14ac:dyDescent="0.3">
      <c r="A142" t="s">
        <v>213</v>
      </c>
      <c r="B142" t="s">
        <v>214</v>
      </c>
      <c r="C142">
        <v>24.794878000000001</v>
      </c>
      <c r="D142">
        <v>67.353326999999993</v>
      </c>
      <c r="E142" t="s">
        <v>215</v>
      </c>
      <c r="G142" t="s">
        <v>216</v>
      </c>
      <c r="H142" t="s">
        <v>217</v>
      </c>
      <c r="I142" t="s">
        <v>17</v>
      </c>
      <c r="J142">
        <f>1000000*1.28</f>
        <v>1280000</v>
      </c>
      <c r="K142" s="2">
        <f>Sheet1!$D$5</f>
        <v>3.81E-3</v>
      </c>
      <c r="L142" s="2">
        <f t="shared" si="8"/>
        <v>4876.8</v>
      </c>
      <c r="M142" s="2">
        <f>Sheet1!$D$2</f>
        <v>2.5099999999999996E-3</v>
      </c>
      <c r="N142" s="2">
        <f t="shared" si="9"/>
        <v>3212.7999999999997</v>
      </c>
      <c r="O142" s="2">
        <f>Sheet1!$D$3</f>
        <v>1.4399999999999999E-3</v>
      </c>
      <c r="P142" s="2">
        <f t="shared" si="10"/>
        <v>1843.1999999999998</v>
      </c>
      <c r="Q142" s="2">
        <f>Sheet1!$D$4</f>
        <v>4.6999999999999999E-4</v>
      </c>
      <c r="R142" s="2">
        <f t="shared" si="11"/>
        <v>601.6</v>
      </c>
    </row>
    <row r="143" spans="1:18" x14ac:dyDescent="0.3">
      <c r="A143" t="s">
        <v>218</v>
      </c>
      <c r="B143" t="s">
        <v>219</v>
      </c>
      <c r="C143">
        <v>24.800325999999998</v>
      </c>
      <c r="D143">
        <v>67.504851000000002</v>
      </c>
      <c r="E143" t="s">
        <v>19</v>
      </c>
      <c r="G143" t="s">
        <v>216</v>
      </c>
      <c r="H143" t="s">
        <v>217</v>
      </c>
      <c r="I143" t="s">
        <v>17</v>
      </c>
      <c r="J143">
        <f>1000000*0.6</f>
        <v>600000</v>
      </c>
      <c r="K143" s="2">
        <f>Sheet1!$D$5</f>
        <v>3.81E-3</v>
      </c>
      <c r="L143" s="2">
        <f t="shared" si="8"/>
        <v>2286</v>
      </c>
      <c r="M143" s="2">
        <f>Sheet1!$D$2</f>
        <v>2.5099999999999996E-3</v>
      </c>
      <c r="N143" s="2">
        <f t="shared" si="9"/>
        <v>1505.9999999999998</v>
      </c>
      <c r="O143" s="2">
        <f>Sheet1!$D$3</f>
        <v>1.4399999999999999E-3</v>
      </c>
      <c r="P143" s="2">
        <f t="shared" si="10"/>
        <v>863.99999999999989</v>
      </c>
      <c r="Q143" s="2">
        <f>Sheet1!$D$4</f>
        <v>4.6999999999999999E-4</v>
      </c>
      <c r="R143" s="2">
        <f t="shared" si="11"/>
        <v>282</v>
      </c>
    </row>
    <row r="144" spans="1:18" x14ac:dyDescent="0.3">
      <c r="A144" t="s">
        <v>220</v>
      </c>
      <c r="B144" t="s">
        <v>221</v>
      </c>
      <c r="C144">
        <v>24.840713000000001</v>
      </c>
      <c r="D144">
        <v>67.347380000000001</v>
      </c>
      <c r="E144" t="s">
        <v>15</v>
      </c>
      <c r="G144" t="s">
        <v>216</v>
      </c>
      <c r="H144" t="s">
        <v>217</v>
      </c>
      <c r="I144" t="s">
        <v>17</v>
      </c>
      <c r="J144">
        <f>1000000*0.7</f>
        <v>700000</v>
      </c>
      <c r="K144" s="2">
        <f>Sheet1!$D$5</f>
        <v>3.81E-3</v>
      </c>
      <c r="L144" s="2">
        <f t="shared" si="8"/>
        <v>2667</v>
      </c>
      <c r="M144" s="2">
        <f>Sheet1!$D$2</f>
        <v>2.5099999999999996E-3</v>
      </c>
      <c r="N144" s="2">
        <f t="shared" si="9"/>
        <v>1756.9999999999998</v>
      </c>
      <c r="O144" s="2">
        <f>Sheet1!$D$3</f>
        <v>1.4399999999999999E-3</v>
      </c>
      <c r="P144" s="2">
        <f t="shared" si="10"/>
        <v>1007.9999999999999</v>
      </c>
      <c r="Q144" s="2">
        <f>Sheet1!$D$4</f>
        <v>4.6999999999999999E-4</v>
      </c>
      <c r="R144" s="2">
        <f t="shared" si="11"/>
        <v>329</v>
      </c>
    </row>
    <row r="145" spans="1:18" x14ac:dyDescent="0.3">
      <c r="A145" t="s">
        <v>222</v>
      </c>
      <c r="B145" t="s">
        <v>223</v>
      </c>
      <c r="C145">
        <v>24.837855000000001</v>
      </c>
      <c r="D145">
        <v>67.231431000000001</v>
      </c>
      <c r="E145" t="s">
        <v>15</v>
      </c>
      <c r="G145" t="s">
        <v>216</v>
      </c>
      <c r="H145" t="s">
        <v>217</v>
      </c>
      <c r="I145" t="s">
        <v>17</v>
      </c>
      <c r="J145">
        <f>1000000*1</f>
        <v>1000000</v>
      </c>
      <c r="K145" s="2">
        <f>Sheet1!$D$5</f>
        <v>3.81E-3</v>
      </c>
      <c r="L145" s="2">
        <f t="shared" si="8"/>
        <v>3810</v>
      </c>
      <c r="M145" s="2">
        <f>Sheet1!$D$2</f>
        <v>2.5099999999999996E-3</v>
      </c>
      <c r="N145" s="2">
        <f t="shared" si="9"/>
        <v>2509.9999999999995</v>
      </c>
      <c r="O145" s="2">
        <f>Sheet1!$D$3</f>
        <v>1.4399999999999999E-3</v>
      </c>
      <c r="P145" s="2">
        <f t="shared" si="10"/>
        <v>1439.9999999999998</v>
      </c>
      <c r="Q145" s="2">
        <f>Sheet1!$D$4</f>
        <v>4.6999999999999999E-4</v>
      </c>
      <c r="R145" s="2">
        <f t="shared" si="11"/>
        <v>470</v>
      </c>
    </row>
    <row r="146" spans="1:18" x14ac:dyDescent="0.3">
      <c r="A146" t="s">
        <v>224</v>
      </c>
      <c r="B146" t="s">
        <v>225</v>
      </c>
      <c r="C146">
        <v>31.610191</v>
      </c>
      <c r="D146">
        <v>74.362307999999999</v>
      </c>
      <c r="G146" t="s">
        <v>46</v>
      </c>
      <c r="H146" t="s">
        <v>217</v>
      </c>
      <c r="I146" t="s">
        <v>17</v>
      </c>
      <c r="K146" s="2">
        <f>Sheet1!$D$5</f>
        <v>3.81E-3</v>
      </c>
      <c r="L146" s="2">
        <f t="shared" si="8"/>
        <v>0</v>
      </c>
      <c r="M146" s="2">
        <f>Sheet1!$D$2</f>
        <v>2.5099999999999996E-3</v>
      </c>
      <c r="N146" s="2">
        <f t="shared" si="9"/>
        <v>0</v>
      </c>
      <c r="O146" s="2">
        <f>Sheet1!$D$3</f>
        <v>1.4399999999999999E-3</v>
      </c>
      <c r="P146" s="2">
        <f t="shared" si="10"/>
        <v>0</v>
      </c>
      <c r="Q146" s="2">
        <f>Sheet1!$D$4</f>
        <v>4.6999999999999999E-4</v>
      </c>
      <c r="R146" s="2">
        <f t="shared" si="11"/>
        <v>0</v>
      </c>
    </row>
    <row r="147" spans="1:18" x14ac:dyDescent="0.3">
      <c r="A147" t="s">
        <v>226</v>
      </c>
      <c r="B147" t="s">
        <v>227</v>
      </c>
      <c r="C147">
        <v>31.258773999999999</v>
      </c>
      <c r="D147">
        <v>74.132857999999999</v>
      </c>
      <c r="E147" t="s">
        <v>15</v>
      </c>
      <c r="G147" t="s">
        <v>46</v>
      </c>
      <c r="H147" t="s">
        <v>217</v>
      </c>
      <c r="I147" t="s">
        <v>17</v>
      </c>
      <c r="J147">
        <f>1000000*0.12</f>
        <v>120000</v>
      </c>
      <c r="K147" s="2">
        <f>Sheet1!$D$5</f>
        <v>3.81E-3</v>
      </c>
      <c r="L147" s="2">
        <f t="shared" si="8"/>
        <v>457.2</v>
      </c>
      <c r="M147" s="2">
        <f>Sheet1!$D$2</f>
        <v>2.5099999999999996E-3</v>
      </c>
      <c r="N147" s="2">
        <f t="shared" si="9"/>
        <v>301.19999999999993</v>
      </c>
      <c r="O147" s="2">
        <f>Sheet1!$D$3</f>
        <v>1.4399999999999999E-3</v>
      </c>
      <c r="P147" s="2">
        <f t="shared" si="10"/>
        <v>172.79999999999998</v>
      </c>
      <c r="Q147" s="2">
        <f>Sheet1!$D$4</f>
        <v>4.6999999999999999E-4</v>
      </c>
      <c r="R147" s="2">
        <f t="shared" si="11"/>
        <v>56.4</v>
      </c>
    </row>
    <row r="148" spans="1:18" x14ac:dyDescent="0.3">
      <c r="A148" t="s">
        <v>228</v>
      </c>
      <c r="B148" t="s">
        <v>229</v>
      </c>
      <c r="C148">
        <v>24.805135</v>
      </c>
      <c r="D148">
        <v>67.346693999999999</v>
      </c>
      <c r="E148" t="s">
        <v>35</v>
      </c>
      <c r="G148" t="s">
        <v>216</v>
      </c>
      <c r="H148" t="s">
        <v>217</v>
      </c>
      <c r="I148" t="s">
        <v>17</v>
      </c>
      <c r="J148">
        <f>1000000*1.1</f>
        <v>1100000</v>
      </c>
      <c r="K148" s="2">
        <f>Sheet1!$D$5</f>
        <v>3.81E-3</v>
      </c>
      <c r="L148" s="2">
        <f t="shared" si="8"/>
        <v>4191</v>
      </c>
      <c r="M148" s="2">
        <f>Sheet1!$D$2</f>
        <v>2.5099999999999996E-3</v>
      </c>
      <c r="N148" s="2">
        <f t="shared" si="9"/>
        <v>2760.9999999999995</v>
      </c>
      <c r="O148" s="2">
        <f>Sheet1!$D$3</f>
        <v>1.4399999999999999E-3</v>
      </c>
      <c r="P148" s="2">
        <f t="shared" si="10"/>
        <v>1583.9999999999998</v>
      </c>
      <c r="Q148" s="2">
        <f>Sheet1!$D$4</f>
        <v>4.6999999999999999E-4</v>
      </c>
      <c r="R148" s="2">
        <f t="shared" si="11"/>
        <v>517</v>
      </c>
    </row>
    <row r="149" spans="1:18" x14ac:dyDescent="0.3">
      <c r="A149" t="s">
        <v>230</v>
      </c>
      <c r="B149" t="s">
        <v>231</v>
      </c>
      <c r="C149">
        <v>24.96585</v>
      </c>
      <c r="D149">
        <v>67.022604000000001</v>
      </c>
      <c r="E149" t="s">
        <v>19</v>
      </c>
      <c r="G149" t="s">
        <v>216</v>
      </c>
      <c r="H149" t="s">
        <v>217</v>
      </c>
      <c r="I149" t="s">
        <v>17</v>
      </c>
      <c r="J149">
        <f>1000000*0.07</f>
        <v>70000</v>
      </c>
      <c r="K149" s="2">
        <f>Sheet1!$D$5</f>
        <v>3.81E-3</v>
      </c>
      <c r="L149" s="2">
        <f t="shared" si="8"/>
        <v>266.7</v>
      </c>
      <c r="M149" s="2">
        <f>Sheet1!$D$2</f>
        <v>2.5099999999999996E-3</v>
      </c>
      <c r="N149" s="2">
        <f t="shared" si="9"/>
        <v>175.7</v>
      </c>
      <c r="O149" s="2">
        <f>Sheet1!$D$3</f>
        <v>1.4399999999999999E-3</v>
      </c>
      <c r="P149" s="2">
        <f t="shared" si="10"/>
        <v>100.8</v>
      </c>
      <c r="Q149" s="2">
        <f>Sheet1!$D$4</f>
        <v>4.6999999999999999E-4</v>
      </c>
      <c r="R149" s="2">
        <f t="shared" si="11"/>
        <v>32.9</v>
      </c>
    </row>
    <row r="150" spans="1:18" x14ac:dyDescent="0.3">
      <c r="A150" t="s">
        <v>232</v>
      </c>
      <c r="B150" t="s">
        <v>233</v>
      </c>
      <c r="C150">
        <v>25.382244</v>
      </c>
      <c r="D150">
        <v>66.676192</v>
      </c>
      <c r="E150" t="s">
        <v>15</v>
      </c>
      <c r="G150" t="s">
        <v>234</v>
      </c>
      <c r="H150" t="s">
        <v>217</v>
      </c>
      <c r="I150" t="s">
        <v>17</v>
      </c>
      <c r="J150">
        <f>1000000*0.2</f>
        <v>200000</v>
      </c>
      <c r="K150" s="2">
        <f>Sheet1!$D$5</f>
        <v>3.81E-3</v>
      </c>
      <c r="L150" s="2">
        <f t="shared" si="8"/>
        <v>762</v>
      </c>
      <c r="M150" s="2">
        <f>Sheet1!$D$2</f>
        <v>2.5099999999999996E-3</v>
      </c>
      <c r="N150" s="2">
        <f t="shared" si="9"/>
        <v>501.99999999999994</v>
      </c>
      <c r="O150" s="2">
        <f>Sheet1!$D$3</f>
        <v>1.4399999999999999E-3</v>
      </c>
      <c r="P150" s="2">
        <f t="shared" si="10"/>
        <v>288</v>
      </c>
      <c r="Q150" s="2">
        <f>Sheet1!$D$4</f>
        <v>4.6999999999999999E-4</v>
      </c>
      <c r="R150" s="2">
        <f t="shared" si="11"/>
        <v>94</v>
      </c>
    </row>
    <row r="151" spans="1:18" x14ac:dyDescent="0.3">
      <c r="A151" t="s">
        <v>235</v>
      </c>
      <c r="B151" t="s">
        <v>236</v>
      </c>
      <c r="C151">
        <v>24.794878000000001</v>
      </c>
      <c r="D151">
        <v>67.353326999999993</v>
      </c>
      <c r="E151" t="s">
        <v>215</v>
      </c>
      <c r="G151" t="s">
        <v>216</v>
      </c>
      <c r="H151" t="s">
        <v>217</v>
      </c>
      <c r="I151" t="s">
        <v>17</v>
      </c>
      <c r="J151">
        <f>1000000*1.28</f>
        <v>1280000</v>
      </c>
      <c r="K151" s="2">
        <f>Sheet1!$D$5</f>
        <v>3.81E-3</v>
      </c>
      <c r="L151" s="2">
        <f t="shared" si="8"/>
        <v>4876.8</v>
      </c>
      <c r="M151" s="2">
        <f>Sheet1!$D$2</f>
        <v>2.5099999999999996E-3</v>
      </c>
      <c r="N151" s="2">
        <f t="shared" si="9"/>
        <v>3212.7999999999997</v>
      </c>
      <c r="O151" s="2">
        <f>Sheet1!$D$3</f>
        <v>1.4399999999999999E-3</v>
      </c>
      <c r="P151" s="2">
        <f t="shared" si="10"/>
        <v>1843.1999999999998</v>
      </c>
      <c r="Q151" s="2">
        <f>Sheet1!$D$4</f>
        <v>4.6999999999999999E-4</v>
      </c>
      <c r="R151" s="2">
        <f t="shared" si="11"/>
        <v>601.6</v>
      </c>
    </row>
    <row r="152" spans="1:18" x14ac:dyDescent="0.3">
      <c r="A152" t="s">
        <v>237</v>
      </c>
      <c r="B152" t="s">
        <v>219</v>
      </c>
      <c r="C152">
        <v>24.800325999999998</v>
      </c>
      <c r="D152">
        <v>67.504851000000002</v>
      </c>
      <c r="E152" t="s">
        <v>19</v>
      </c>
      <c r="G152" t="s">
        <v>216</v>
      </c>
      <c r="H152" t="s">
        <v>217</v>
      </c>
      <c r="I152" t="s">
        <v>17</v>
      </c>
      <c r="J152">
        <f>1000000*0.6</f>
        <v>600000</v>
      </c>
      <c r="K152" s="2">
        <f>Sheet1!$D$5</f>
        <v>3.81E-3</v>
      </c>
      <c r="L152" s="2">
        <f t="shared" si="8"/>
        <v>2286</v>
      </c>
      <c r="M152" s="2">
        <f>Sheet1!$D$2</f>
        <v>2.5099999999999996E-3</v>
      </c>
      <c r="N152" s="2">
        <f t="shared" si="9"/>
        <v>1505.9999999999998</v>
      </c>
      <c r="O152" s="2">
        <f>Sheet1!$D$3</f>
        <v>1.4399999999999999E-3</v>
      </c>
      <c r="P152" s="2">
        <f t="shared" si="10"/>
        <v>863.99999999999989</v>
      </c>
      <c r="Q152" s="2">
        <f>Sheet1!$D$4</f>
        <v>4.6999999999999999E-4</v>
      </c>
      <c r="R152" s="2">
        <f t="shared" si="11"/>
        <v>282</v>
      </c>
    </row>
    <row r="153" spans="1:18" x14ac:dyDescent="0.3">
      <c r="A153" t="s">
        <v>238</v>
      </c>
      <c r="B153" t="s">
        <v>239</v>
      </c>
      <c r="C153">
        <v>24.840713000000001</v>
      </c>
      <c r="D153">
        <v>67.347380000000001</v>
      </c>
      <c r="E153" t="s">
        <v>15</v>
      </c>
      <c r="G153" t="s">
        <v>216</v>
      </c>
      <c r="H153" t="s">
        <v>217</v>
      </c>
      <c r="I153" t="s">
        <v>17</v>
      </c>
      <c r="J153">
        <f>1000000*0.7</f>
        <v>700000</v>
      </c>
      <c r="K153" s="2">
        <f>Sheet1!$D$5</f>
        <v>3.81E-3</v>
      </c>
      <c r="L153" s="2">
        <f t="shared" si="8"/>
        <v>2667</v>
      </c>
      <c r="M153" s="2">
        <f>Sheet1!$D$2</f>
        <v>2.5099999999999996E-3</v>
      </c>
      <c r="N153" s="2">
        <f t="shared" si="9"/>
        <v>1756.9999999999998</v>
      </c>
      <c r="O153" s="2">
        <f>Sheet1!$D$3</f>
        <v>1.4399999999999999E-3</v>
      </c>
      <c r="P153" s="2">
        <f t="shared" si="10"/>
        <v>1007.9999999999999</v>
      </c>
      <c r="Q153" s="2">
        <f>Sheet1!$D$4</f>
        <v>4.6999999999999999E-4</v>
      </c>
      <c r="R153" s="2">
        <f t="shared" si="11"/>
        <v>329</v>
      </c>
    </row>
    <row r="154" spans="1:18" x14ac:dyDescent="0.3">
      <c r="A154" t="s">
        <v>240</v>
      </c>
      <c r="B154" t="s">
        <v>241</v>
      </c>
      <c r="C154">
        <v>24.837855000000001</v>
      </c>
      <c r="D154">
        <v>67.231431000000001</v>
      </c>
      <c r="E154" t="s">
        <v>15</v>
      </c>
      <c r="G154" t="s">
        <v>216</v>
      </c>
      <c r="H154" t="s">
        <v>217</v>
      </c>
      <c r="I154" t="s">
        <v>17</v>
      </c>
      <c r="J154">
        <f>1000000*1</f>
        <v>1000000</v>
      </c>
      <c r="K154" s="2">
        <f>Sheet1!$D$5</f>
        <v>3.81E-3</v>
      </c>
      <c r="L154" s="2">
        <f t="shared" si="8"/>
        <v>3810</v>
      </c>
      <c r="M154" s="2">
        <f>Sheet1!$D$2</f>
        <v>2.5099999999999996E-3</v>
      </c>
      <c r="N154" s="2">
        <f t="shared" si="9"/>
        <v>2509.9999999999995</v>
      </c>
      <c r="O154" s="2">
        <f>Sheet1!$D$3</f>
        <v>1.4399999999999999E-3</v>
      </c>
      <c r="P154" s="2">
        <f t="shared" si="10"/>
        <v>1439.9999999999998</v>
      </c>
      <c r="Q154" s="2">
        <f>Sheet1!$D$4</f>
        <v>4.6999999999999999E-4</v>
      </c>
      <c r="R154" s="2">
        <f t="shared" si="11"/>
        <v>470</v>
      </c>
    </row>
    <row r="155" spans="1:18" x14ac:dyDescent="0.3">
      <c r="A155" t="s">
        <v>242</v>
      </c>
      <c r="B155" t="s">
        <v>225</v>
      </c>
      <c r="C155">
        <v>31.610191</v>
      </c>
      <c r="D155">
        <v>74.362307999999999</v>
      </c>
      <c r="G155" t="s">
        <v>46</v>
      </c>
      <c r="H155" t="s">
        <v>217</v>
      </c>
      <c r="I155" t="s">
        <v>17</v>
      </c>
      <c r="K155" s="2">
        <f>Sheet1!$D$5</f>
        <v>3.81E-3</v>
      </c>
      <c r="L155" s="2">
        <f t="shared" si="8"/>
        <v>0</v>
      </c>
      <c r="M155" s="2">
        <f>Sheet1!$D$2</f>
        <v>2.5099999999999996E-3</v>
      </c>
      <c r="N155" s="2">
        <f t="shared" si="9"/>
        <v>0</v>
      </c>
      <c r="O155" s="2">
        <f>Sheet1!$D$3</f>
        <v>1.4399999999999999E-3</v>
      </c>
      <c r="P155" s="2">
        <f t="shared" si="10"/>
        <v>0</v>
      </c>
      <c r="Q155" s="2">
        <f>Sheet1!$D$4</f>
        <v>4.6999999999999999E-4</v>
      </c>
      <c r="R155" s="2">
        <f t="shared" si="11"/>
        <v>0</v>
      </c>
    </row>
    <row r="156" spans="1:18" x14ac:dyDescent="0.3">
      <c r="A156" t="s">
        <v>243</v>
      </c>
      <c r="B156" t="s">
        <v>227</v>
      </c>
      <c r="C156">
        <v>31.258773999999999</v>
      </c>
      <c r="D156">
        <v>74.132857999999999</v>
      </c>
      <c r="E156" t="s">
        <v>15</v>
      </c>
      <c r="G156" t="s">
        <v>46</v>
      </c>
      <c r="H156" t="s">
        <v>217</v>
      </c>
      <c r="I156" t="s">
        <v>17</v>
      </c>
      <c r="J156">
        <f>1000000*0.12</f>
        <v>120000</v>
      </c>
      <c r="K156" s="2">
        <f>Sheet1!$D$5</f>
        <v>3.81E-3</v>
      </c>
      <c r="L156" s="2">
        <f t="shared" si="8"/>
        <v>457.2</v>
      </c>
      <c r="M156" s="2">
        <f>Sheet1!$D$2</f>
        <v>2.5099999999999996E-3</v>
      </c>
      <c r="N156" s="2">
        <f t="shared" si="9"/>
        <v>301.19999999999993</v>
      </c>
      <c r="O156" s="2">
        <f>Sheet1!$D$3</f>
        <v>1.4399999999999999E-3</v>
      </c>
      <c r="P156" s="2">
        <f t="shared" si="10"/>
        <v>172.79999999999998</v>
      </c>
      <c r="Q156" s="2">
        <f>Sheet1!$D$4</f>
        <v>4.6999999999999999E-4</v>
      </c>
      <c r="R156" s="2">
        <f t="shared" si="11"/>
        <v>56.4</v>
      </c>
    </row>
    <row r="157" spans="1:18" x14ac:dyDescent="0.3">
      <c r="A157" t="s">
        <v>244</v>
      </c>
      <c r="B157" t="s">
        <v>229</v>
      </c>
      <c r="C157">
        <v>24.805135</v>
      </c>
      <c r="D157">
        <v>67.346693999999999</v>
      </c>
      <c r="E157" t="s">
        <v>35</v>
      </c>
      <c r="G157" t="s">
        <v>216</v>
      </c>
      <c r="H157" t="s">
        <v>217</v>
      </c>
      <c r="I157" t="s">
        <v>17</v>
      </c>
      <c r="J157">
        <f>1000000*1.1</f>
        <v>1100000</v>
      </c>
      <c r="K157" s="2">
        <f>Sheet1!$D$5</f>
        <v>3.81E-3</v>
      </c>
      <c r="L157" s="2">
        <f t="shared" si="8"/>
        <v>4191</v>
      </c>
      <c r="M157" s="2">
        <f>Sheet1!$D$2</f>
        <v>2.5099999999999996E-3</v>
      </c>
      <c r="N157" s="2">
        <f t="shared" si="9"/>
        <v>2760.9999999999995</v>
      </c>
      <c r="O157" s="2">
        <f>Sheet1!$D$3</f>
        <v>1.4399999999999999E-3</v>
      </c>
      <c r="P157" s="2">
        <f t="shared" si="10"/>
        <v>1583.9999999999998</v>
      </c>
      <c r="Q157" s="2">
        <f>Sheet1!$D$4</f>
        <v>4.6999999999999999E-4</v>
      </c>
      <c r="R157" s="2">
        <f t="shared" si="11"/>
        <v>517</v>
      </c>
    </row>
    <row r="158" spans="1:18" x14ac:dyDescent="0.3">
      <c r="A158" t="s">
        <v>245</v>
      </c>
      <c r="B158" t="s">
        <v>231</v>
      </c>
      <c r="C158">
        <v>24.96585</v>
      </c>
      <c r="D158">
        <v>67.022604000000001</v>
      </c>
      <c r="E158" t="s">
        <v>19</v>
      </c>
      <c r="G158" t="s">
        <v>216</v>
      </c>
      <c r="H158" t="s">
        <v>217</v>
      </c>
      <c r="I158" t="s">
        <v>17</v>
      </c>
      <c r="J158">
        <f>1000000*0.07</f>
        <v>70000</v>
      </c>
      <c r="K158" s="2">
        <f>Sheet1!$D$5</f>
        <v>3.81E-3</v>
      </c>
      <c r="L158" s="2">
        <f t="shared" si="8"/>
        <v>266.7</v>
      </c>
      <c r="M158" s="2">
        <f>Sheet1!$D$2</f>
        <v>2.5099999999999996E-3</v>
      </c>
      <c r="N158" s="2">
        <f t="shared" si="9"/>
        <v>175.7</v>
      </c>
      <c r="O158" s="2">
        <f>Sheet1!$D$3</f>
        <v>1.4399999999999999E-3</v>
      </c>
      <c r="P158" s="2">
        <f t="shared" si="10"/>
        <v>100.8</v>
      </c>
      <c r="Q158" s="2">
        <f>Sheet1!$D$4</f>
        <v>4.6999999999999999E-4</v>
      </c>
      <c r="R158" s="2">
        <f t="shared" si="11"/>
        <v>32.9</v>
      </c>
    </row>
    <row r="159" spans="1:18" x14ac:dyDescent="0.3">
      <c r="A159" t="s">
        <v>246</v>
      </c>
      <c r="B159" t="s">
        <v>247</v>
      </c>
      <c r="C159">
        <v>25.382244</v>
      </c>
      <c r="D159">
        <v>66.676192</v>
      </c>
      <c r="E159" t="s">
        <v>15</v>
      </c>
      <c r="G159" t="s">
        <v>234</v>
      </c>
      <c r="H159" t="s">
        <v>217</v>
      </c>
      <c r="I159" t="s">
        <v>17</v>
      </c>
      <c r="J159">
        <f>1000000*0.2</f>
        <v>200000</v>
      </c>
      <c r="K159" s="2">
        <f>Sheet1!$D$5</f>
        <v>3.81E-3</v>
      </c>
      <c r="L159" s="2">
        <f t="shared" si="8"/>
        <v>762</v>
      </c>
      <c r="M159" s="2">
        <f>Sheet1!$D$2</f>
        <v>2.5099999999999996E-3</v>
      </c>
      <c r="N159" s="2">
        <f t="shared" si="9"/>
        <v>501.99999999999994</v>
      </c>
      <c r="O159" s="2">
        <f>Sheet1!$D$3</f>
        <v>1.4399999999999999E-3</v>
      </c>
      <c r="P159" s="2">
        <f t="shared" si="10"/>
        <v>288</v>
      </c>
      <c r="Q159" s="2">
        <f>Sheet1!$D$4</f>
        <v>4.6999999999999999E-4</v>
      </c>
      <c r="R159" s="2">
        <f t="shared" si="11"/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A685-3A73-4E70-B01A-48ABC95BC187}">
  <dimension ref="A1:E10"/>
  <sheetViews>
    <sheetView workbookViewId="0">
      <selection activeCell="D5" sqref="D5"/>
    </sheetView>
  </sheetViews>
  <sheetFormatPr defaultRowHeight="14.4" x14ac:dyDescent="0.3"/>
  <cols>
    <col min="4" max="4" width="47.21875" bestFit="1" customWidth="1"/>
  </cols>
  <sheetData>
    <row r="1" spans="1:5" x14ac:dyDescent="0.3">
      <c r="A1" s="1" t="s">
        <v>248</v>
      </c>
      <c r="B1" s="1" t="s">
        <v>249</v>
      </c>
      <c r="C1" s="1" t="s">
        <v>250</v>
      </c>
      <c r="D1" s="1" t="s">
        <v>251</v>
      </c>
      <c r="E1" s="2" t="s">
        <v>252</v>
      </c>
    </row>
    <row r="2" spans="1:5" x14ac:dyDescent="0.3">
      <c r="A2" s="1" t="s">
        <v>253</v>
      </c>
      <c r="B2" s="1">
        <v>2.5099999999999998</v>
      </c>
      <c r="C2" s="1" t="s">
        <v>254</v>
      </c>
      <c r="D2" s="1">
        <f>B2/1000</f>
        <v>2.5099999999999996E-3</v>
      </c>
      <c r="E2" s="2"/>
    </row>
    <row r="3" spans="1:5" x14ac:dyDescent="0.3">
      <c r="A3" s="1" t="s">
        <v>255</v>
      </c>
      <c r="B3" s="1">
        <v>1.44</v>
      </c>
      <c r="C3" s="1" t="s">
        <v>254</v>
      </c>
      <c r="D3" s="1">
        <f t="shared" ref="D3:D5" si="0">B3/1000</f>
        <v>1.4399999999999999E-3</v>
      </c>
      <c r="E3" s="2"/>
    </row>
    <row r="4" spans="1:5" x14ac:dyDescent="0.3">
      <c r="A4" s="1" t="s">
        <v>256</v>
      </c>
      <c r="B4" s="1">
        <v>0.47</v>
      </c>
      <c r="C4" s="1" t="s">
        <v>254</v>
      </c>
      <c r="D4" s="1">
        <f t="shared" si="0"/>
        <v>4.6999999999999999E-4</v>
      </c>
      <c r="E4" s="2"/>
    </row>
    <row r="5" spans="1:5" x14ac:dyDescent="0.3">
      <c r="A5" s="1" t="s">
        <v>257</v>
      </c>
      <c r="B5" s="1">
        <v>3.81</v>
      </c>
      <c r="C5" s="1" t="s">
        <v>254</v>
      </c>
      <c r="D5" s="1">
        <f t="shared" si="0"/>
        <v>3.81E-3</v>
      </c>
      <c r="E5" s="2" t="s">
        <v>258</v>
      </c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 t="s">
        <v>259</v>
      </c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ht="409.6" x14ac:dyDescent="0.3">
      <c r="A10" s="3" t="s">
        <v>260</v>
      </c>
      <c r="B10" s="4" t="s">
        <v>261</v>
      </c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steel_plants_main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2025-11-10T12:32:19Z</dcterms:created>
  <dcterms:modified xsi:type="dcterms:W3CDTF">2025-11-10T12:42:44Z</dcterms:modified>
</cp:coreProperties>
</file>